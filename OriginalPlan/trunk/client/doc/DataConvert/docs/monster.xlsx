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 activeTab="2"/>
  </bookViews>
  <sheets>
    <sheet name="monster" sheetId="1" r:id="rId1"/>
    <sheet name="Sheet5" sheetId="2" r:id="rId2"/>
    <sheet name="shareData" sheetId="3" r:id="rId3"/>
    <sheet name="levelToDungeon" sheetId="4" r:id="rId4"/>
    <sheet name="属性系数" sheetId="5" r:id="rId5"/>
    <sheet name="等级属性" sheetId="6" r:id="rId6"/>
    <sheet name="统率力" sheetId="7" r:id="rId7"/>
    <sheet name="Sheet1" sheetId="8" r:id="rId8"/>
  </sheets>
  <externalReferences>
    <externalReference r:id="rId9"/>
  </externalReferences>
  <definedNames>
    <definedName name="_xlnm._FilterDatabase" localSheetId="2" hidden="1">shareData!$A$1:$AQ$20</definedName>
  </definedNames>
  <calcPr calcId="144525" concurrentCalc="0"/>
</workbook>
</file>

<file path=xl/sharedStrings.xml><?xml version="1.0" encoding="utf-8"?>
<sst xmlns="http://schemas.openxmlformats.org/spreadsheetml/2006/main" count="338">
  <si>
    <t xml:space="preserve">怪物id
1：战役副本（类型1+章2+节2+怪2）
2：精英副本【命名规则同战役副本】
3：日常副本（类型1+章2+节2+怪2）
4：组队副本（类型1+星2+节2+怪2）【礼包单位的测试：41+三位编码+怪物2】
51：野外怪物（51+类型1+等级2+怪2）【类型，1为主力怪物，2为防空补充】
6：世界BOSS
7：测试
8：地图摆件（地图8+章2+节2+怪1）
9：抵抗侵略
61：世界基地
75：竞技场防御建筑
76：公会副本（76+两位章节数+1位训练场+2位怪物
77：将领副本（77+两位关卡数+3位怪物
</t>
  </si>
  <si>
    <t>名字</t>
  </si>
  <si>
    <t>shareDataID</t>
  </si>
  <si>
    <r>
      <rPr>
        <sz val="11"/>
        <color indexed="30"/>
        <rFont val="宋体"/>
        <charset val="134"/>
      </rPr>
      <t xml:space="preserve">所占的人口
</t>
    </r>
    <r>
      <rPr>
        <sz val="11"/>
        <color rgb="FFFF0000"/>
        <rFont val="宋体"/>
        <charset val="134"/>
      </rPr>
      <t>代码会把属性名变成：
populace</t>
    </r>
  </si>
  <si>
    <r>
      <rPr>
        <sz val="11"/>
        <color indexed="30"/>
        <rFont val="宋体"/>
        <charset val="134"/>
      </rPr>
      <t xml:space="preserve"> 主武器攻击
</t>
    </r>
    <r>
      <rPr>
        <sz val="11"/>
        <color rgb="FFFF0000"/>
        <rFont val="宋体"/>
        <charset val="134"/>
      </rPr>
      <t>代码会把属性名变成：
main_atk</t>
    </r>
  </si>
  <si>
    <r>
      <rPr>
        <sz val="11"/>
        <color indexed="30"/>
        <rFont val="宋体"/>
        <charset val="134"/>
      </rPr>
      <t xml:space="preserve">副武器攻击
</t>
    </r>
    <r>
      <rPr>
        <sz val="11"/>
        <color rgb="FFFF0000"/>
        <rFont val="宋体"/>
        <charset val="134"/>
      </rPr>
      <t>代码会把属性名变成：
minor_atk</t>
    </r>
  </si>
  <si>
    <r>
      <rPr>
        <sz val="11"/>
        <color indexed="30"/>
        <rFont val="宋体"/>
        <charset val="134"/>
      </rPr>
      <t xml:space="preserve">防御
</t>
    </r>
    <r>
      <rPr>
        <sz val="11"/>
        <color rgb="FFFF0000"/>
        <rFont val="宋体"/>
        <charset val="134"/>
      </rPr>
      <t>代码会把属性名变成：
def</t>
    </r>
  </si>
  <si>
    <r>
      <rPr>
        <sz val="11"/>
        <color indexed="30"/>
        <rFont val="宋体"/>
        <charset val="134"/>
      </rPr>
      <t xml:space="preserve">生命
</t>
    </r>
    <r>
      <rPr>
        <sz val="11"/>
        <color rgb="FFFF0000"/>
        <rFont val="宋体"/>
        <charset val="134"/>
      </rPr>
      <t>代码会把属性名变成：
hp</t>
    </r>
  </si>
  <si>
    <r>
      <rPr>
        <sz val="11"/>
        <color indexed="30"/>
        <rFont val="宋体"/>
        <charset val="134"/>
      </rPr>
      <t xml:space="preserve">等级
</t>
    </r>
    <r>
      <rPr>
        <sz val="11"/>
        <color rgb="FFFF0000"/>
        <rFont val="宋体"/>
        <charset val="134"/>
      </rPr>
      <t>代码会把属性名变成：
level</t>
    </r>
  </si>
  <si>
    <t>精英(0非,1是)</t>
  </si>
  <si>
    <t>是否特别介绍(0非,1是)</t>
  </si>
  <si>
    <t>id</t>
  </si>
  <si>
    <t>s</t>
  </si>
  <si>
    <t>p</t>
  </si>
  <si>
    <t>a</t>
  </si>
  <si>
    <t>b</t>
  </si>
  <si>
    <t>d</t>
  </si>
  <si>
    <t>h</t>
  </si>
  <si>
    <t>l</t>
  </si>
  <si>
    <t>k</t>
  </si>
  <si>
    <t>r</t>
  </si>
  <si>
    <t>int</t>
  </si>
  <si>
    <t>string</t>
  </si>
  <si>
    <t>沙包横</t>
  </si>
  <si>
    <t>飞行单位</t>
  </si>
  <si>
    <t>法师</t>
  </si>
  <si>
    <t>奶妈</t>
  </si>
  <si>
    <t>攻城器</t>
  </si>
  <si>
    <t>野怪</t>
  </si>
  <si>
    <t>近战肉盾</t>
  </si>
  <si>
    <t>弓箭塔</t>
  </si>
  <si>
    <t>雷电塔</t>
  </si>
  <si>
    <t>冰冻塔</t>
  </si>
  <si>
    <t>投石车</t>
  </si>
  <si>
    <t>法师塔</t>
  </si>
  <si>
    <t>防空塔</t>
  </si>
  <si>
    <t>总部1</t>
  </si>
  <si>
    <t>城墙</t>
  </si>
  <si>
    <t>城门</t>
  </si>
  <si>
    <t>城墙（无死亡特效）</t>
  </si>
  <si>
    <t>城柱子</t>
  </si>
  <si>
    <t>城墙一</t>
  </si>
  <si>
    <t>城墙二</t>
  </si>
  <si>
    <t>城墙三</t>
  </si>
  <si>
    <t>世界BOSS</t>
  </si>
  <si>
    <t>雷神奥丁</t>
  </si>
  <si>
    <t>Marv</t>
  </si>
  <si>
    <t>阿库斯</t>
  </si>
  <si>
    <t>帝王机甲</t>
  </si>
  <si>
    <t>测试沙包（建筑）</t>
  </si>
  <si>
    <t>测试沙包（士兵）</t>
  </si>
  <si>
    <t>测试用进攻沙包</t>
  </si>
  <si>
    <t>治疗兵</t>
  </si>
  <si>
    <t>雷神</t>
  </si>
  <si>
    <t>肉盾(进攻)</t>
  </si>
  <si>
    <t>近战DPS(进攻)</t>
  </si>
  <si>
    <t>飞行(进攻)</t>
  </si>
  <si>
    <t>法师(进攻)</t>
  </si>
  <si>
    <t>奶妈(进攻)</t>
  </si>
  <si>
    <t>攻城器(进攻)</t>
  </si>
  <si>
    <t>shareDataId</t>
  </si>
  <si>
    <t>资源id</t>
  </si>
  <si>
    <t>是否有武器资源</t>
  </si>
  <si>
    <t>头像</t>
  </si>
  <si>
    <t>一次连续出多少单位</t>
  </si>
  <si>
    <t>单位类型
0、机械的（飞机坦克）默认
1、建筑
2、生物（人类、狗）</t>
  </si>
  <si>
    <r>
      <rPr>
        <sz val="11"/>
        <color indexed="30"/>
        <rFont val="宋体"/>
        <charset val="134"/>
      </rPr>
      <t xml:space="preserve">
</t>
    </r>
    <r>
      <rPr>
        <sz val="11"/>
        <color indexed="10"/>
        <rFont val="宋体"/>
        <charset val="134"/>
      </rPr>
      <t>必填</t>
    </r>
    <r>
      <rPr>
        <sz val="11"/>
        <color indexed="30"/>
        <rFont val="宋体"/>
        <charset val="134"/>
      </rPr>
      <t xml:space="preserve">
单位所在范围
0、陆地
1、空中
2、在地面上但可受到空中伤害</t>
    </r>
  </si>
  <si>
    <t>飞行高度</t>
  </si>
  <si>
    <t>在地图上的占位
(默认是占一格)
写2（表示长宽2,占4格）
写3（表示长宽3,占9格）</t>
  </si>
  <si>
    <t>路障
额外占用可行走区域
{-1,-1},{1,1}
相对于路障点周围的点</t>
  </si>
  <si>
    <t>所占的人口</t>
  </si>
  <si>
    <t>主武器伤害对装甲
2500,2500,2500,7500,10000,10000,6500,6500,6000,2500,10000
10000为分母</t>
  </si>
  <si>
    <t>副武器伤害对装甲
加成</t>
  </si>
  <si>
    <t>必填
攻击空中陆地
0、陆地
1、空中
2、全部</t>
  </si>
  <si>
    <t>装甲类型
1无盔甲、2英雄盔甲、3重型盔甲、4轻型装甲、5中型装甲、6重型装甲、7建筑:木质材料、8建筑:钢铁材料、9建筑:钢筋混凝土材料、10轻型特殊装甲、11重型特殊装甲</t>
  </si>
  <si>
    <t>目标优先级(填职业)</t>
  </si>
  <si>
    <t>忽略列表（填职业）</t>
  </si>
  <si>
    <t>炮弹值(飞机有效)
武器类型,炮弹值
1,3表示主武器炮弹值3
2,4表示副武器炮弹值4
副武器炮弹值消耗完了不会回家装弹</t>
  </si>
  <si>
    <t>移动速度(走一格多少毫秒)
为-1时,不能移动,对时空军团兵来说该值为传送后每一格距离僵直时间</t>
  </si>
  <si>
    <t>转身速度
(多少毫秒转一圈)
飞机移动速度越快转圈速度也要越快</t>
  </si>
  <si>
    <t>主武器攻击范围
【最大攻击距离，最小攻击距离（可不填）】
10,4
(表示最大攻击10，最小攻4)
9
（表示最大攻击9，最小可不填）</t>
  </si>
  <si>
    <t>副武器攻击范围
【最大攻击距离，最小攻击距离（可不填）】
10,4
(表示最大攻击10，最小攻4)
9
（表示最大攻击9，最小可不填）</t>
  </si>
  <si>
    <t>普攻攻击间隔(ms)</t>
  </si>
  <si>
    <t>技能攻击间隔</t>
  </si>
  <si>
    <t>eye范围
10,4
(表示视野10，最小视野4)
注：最小视野范围可不填</t>
  </si>
  <si>
    <t>普攻</t>
  </si>
  <si>
    <t>技能发招顺序</t>
  </si>
  <si>
    <t>技能</t>
  </si>
  <si>
    <t>s音效
可以有多个
"hero1001"
或者
"hero1001","hero1002"</t>
  </si>
  <si>
    <t>一直加在英雄身上的特效</t>
  </si>
  <si>
    <t>移动特效</t>
  </si>
  <si>
    <t>待机特效</t>
  </si>
  <si>
    <t>死亡特效</t>
  </si>
  <si>
    <t>尸体特效
死亡后留在场景</t>
  </si>
  <si>
    <t>死亡技能</t>
  </si>
  <si>
    <t xml:space="preserve">职业
1、近战肉盾；
2、近战DPS；
3、飞机；
4、远程DPS；
5、奶妈；
6、攻城器；
7、城墙；
8、基地；
9、弓箭塔；
10、法师塔；
11、雷电塔；
12、投石车；
13、防空炮；
14、冰冻塔；
15、地面英雄；
16、飞行英雄
</t>
  </si>
  <si>
    <t xml:space="preserve">单位出场动画
总部有
法国巨炮有
</t>
  </si>
  <si>
    <t xml:space="preserve">类型
0:地面士兵
1：飞行士兵
2：英雄
3：建筑
</t>
  </si>
  <si>
    <t>野外对应的场景资源</t>
  </si>
  <si>
    <t>name</t>
  </si>
  <si>
    <t>res</t>
  </si>
  <si>
    <t>atkRes</t>
  </si>
  <si>
    <t>head</t>
  </si>
  <si>
    <t>heroNum</t>
  </si>
  <si>
    <t>heroType</t>
  </si>
  <si>
    <t>scope</t>
  </si>
  <si>
    <t>flyHeight</t>
  </si>
  <si>
    <t>posLength</t>
  </si>
  <si>
    <t>occupy</t>
  </si>
  <si>
    <t>populace</t>
  </si>
  <si>
    <t>atkRate</t>
  </si>
  <si>
    <t>atkRate_1</t>
  </si>
  <si>
    <t>atkScope</t>
  </si>
  <si>
    <t>defType</t>
  </si>
  <si>
    <t>priority</t>
  </si>
  <si>
    <t>ignore</t>
  </si>
  <si>
    <t>bombNum</t>
  </si>
  <si>
    <t>speed</t>
  </si>
  <si>
    <t>turnSpeed</t>
  </si>
  <si>
    <t>atkRange_1</t>
  </si>
  <si>
    <t>main_atkCD</t>
  </si>
  <si>
    <t>minor_atkCD</t>
  </si>
  <si>
    <t>skills</t>
  </si>
  <si>
    <t>skillTurn</t>
  </si>
  <si>
    <t>skills_1</t>
  </si>
  <si>
    <t>skillTurn_1</t>
  </si>
  <si>
    <t>effect</t>
  </si>
  <si>
    <t>heroMagic</t>
  </si>
  <si>
    <t>moveMagic</t>
  </si>
  <si>
    <t>standMagic</t>
  </si>
  <si>
    <t>dieMagic</t>
  </si>
  <si>
    <t>corpseMagic</t>
  </si>
  <si>
    <t>dieSkill</t>
  </si>
  <si>
    <t>career</t>
  </si>
  <si>
    <t>comeOutRes</t>
  </si>
  <si>
    <t>arm</t>
  </si>
  <si>
    <t>sRes</t>
  </si>
  <si>
    <r>
      <rPr>
        <sz val="11"/>
        <color indexed="30"/>
        <rFont val="宋体"/>
        <charset val="134"/>
      </rPr>
      <t>i</t>
    </r>
    <r>
      <rPr>
        <sz val="11"/>
        <color indexed="30"/>
        <rFont val="宋体"/>
        <charset val="134"/>
      </rPr>
      <t>nt</t>
    </r>
  </si>
  <si>
    <t>array</t>
  </si>
  <si>
    <r>
      <rPr>
        <sz val="11"/>
        <color indexed="30"/>
        <rFont val="宋体"/>
        <charset val="134"/>
      </rPr>
      <t>a</t>
    </r>
    <r>
      <rPr>
        <sz val="11"/>
        <color indexed="30"/>
        <rFont val="宋体"/>
        <charset val="134"/>
      </rPr>
      <t>rray</t>
    </r>
  </si>
  <si>
    <r>
      <rPr>
        <sz val="11"/>
        <color indexed="8"/>
        <rFont val="宋体"/>
        <charset val="134"/>
      </rPr>
      <t>s</t>
    </r>
    <r>
      <rPr>
        <sz val="11"/>
        <color indexed="8"/>
        <rFont val="宋体"/>
        <charset val="134"/>
      </rPr>
      <t>tring</t>
    </r>
  </si>
  <si>
    <t>未来坦克</t>
  </si>
  <si>
    <t>hero/FutureTank00</t>
  </si>
  <si>
    <t>2500,2500,2500,7500,10000,10000,10000,10000,7000,6000,10000</t>
  </si>
  <si>
    <t>{1,2,4,5,6,8,9,10,11,12,13,14,15},{7},{8}</t>
  </si>
  <si>
    <t>3,16</t>
  </si>
  <si>
    <t>"s_SUHamme_VoiAttacke"</t>
  </si>
  <si>
    <t>法国巨炮</t>
  </si>
  <si>
    <t>hero/GrandCannon00</t>
  </si>
  <si>
    <t>10000,10000,10000,7500,7500,7500,10000,10000,5000,10000,10000</t>
  </si>
  <si>
    <t>{15},{1,2,4,5,6,8,9,10,11,12,13,14},{7},{8}</t>
  </si>
  <si>
    <t>"s_OpenFire"</t>
  </si>
  <si>
    <t>V3火箭</t>
  </si>
  <si>
    <t>hero/V3rocket00</t>
  </si>
  <si>
    <t>10000,10000,10000,22500,15000,15000,60000,60000,60000,30000,30000</t>
  </si>
  <si>
    <t>{9,10,11,12,13,14},{7},{8},{1,2,3,4,5,6,15,16}</t>
  </si>
  <si>
    <t>"s_v3build"</t>
  </si>
  <si>
    <t>尤里X法师</t>
  </si>
  <si>
    <t>hero/fashi00</t>
  </si>
  <si>
    <t>10000,10000,10000,5000,5000,5000,0,0,0,0,0</t>
  </si>
  <si>
    <t>{1,2,3,4,5,6,9,10,11,12,13,14,15,16},{7},{8}</t>
  </si>
  <si>
    <t>"s_makeItGrow"</t>
  </si>
  <si>
    <t>娜塔莎</t>
  </si>
  <si>
    <t>hero/Natasha</t>
  </si>
  <si>
    <t>10000,10000,10000,0,0,0,100,100,100,100,10000</t>
  </si>
  <si>
    <t>0,0,0,10000,10000,10000,10000,10000,10000,10000,10000</t>
  </si>
  <si>
    <t>"s_LetRockAndRoll"</t>
  </si>
  <si>
    <t>恐怖机器人</t>
  </si>
  <si>
    <t>hero/TerrorDrone00</t>
  </si>
  <si>
    <t>10000,8000,8000,5000,2500,2500,7500,5000,2500,10000,10000</t>
  </si>
  <si>
    <t>2000,2000,2000,10000,5000,10000,1000,1000,1000,10000,10000</t>
  </si>
  <si>
    <t>{1,2,4,5,6,9,10,11,12,13,14,15},{7},{8}</t>
  </si>
  <si>
    <t>"s_Siryessir"</t>
  </si>
  <si>
    <t>武装直升机</t>
  </si>
  <si>
    <t>hero/helicopter00</t>
  </si>
  <si>
    <t>10000,10000,10000,10000,10000,10000,10000,10000,7500,10000,10000</t>
  </si>
  <si>
    <t>"s_Airtransportready"</t>
  </si>
  <si>
    <t>50006,50007</t>
  </si>
  <si>
    <t>总部</t>
  </si>
  <si>
    <t>hero/buildingBase01</t>
  </si>
  <si>
    <t>{0,0},{0,1},{1,0},{1,1},{-1,0},{-1,1},{0,-1},{1,-1},{-1,-1}</t>
  </si>
  <si>
    <t>9999999</t>
  </si>
  <si>
    <t>50008,50009</t>
  </si>
  <si>
    <t>{0,0},{0,1},{1,0},{1,1}</t>
  </si>
  <si>
    <t>hero/obstacleSandbagbunkers02</t>
  </si>
  <si>
    <t>{1,0},{0,0}</t>
  </si>
  <si>
    <t>hero/Wall</t>
  </si>
  <si>
    <t>{0,1},{0,-1},{0,0}</t>
  </si>
  <si>
    <t>hero/WallDoor</t>
  </si>
  <si>
    <t>地对空飞弹</t>
  </si>
  <si>
    <t>hero/Missileplatform00</t>
  </si>
  <si>
    <t>{0,0}</t>
  </si>
  <si>
    <t>10000,8000,7000,5000,3000,1000,1000,500,300,20000,5000</t>
  </si>
  <si>
    <t>{3,16}</t>
  </si>
  <si>
    <t>1,2,4,5,6,7,8,9,10,11,12,13,14,15</t>
  </si>
  <si>
    <t>磁暴线圈</t>
  </si>
  <si>
    <t>hero/TeslaCoil00</t>
  </si>
  <si>
    <t>30000,30000,30000,5000,5000,5000,5000,5000,5000,20000,10000</t>
  </si>
  <si>
    <t>心灵控制塔</t>
  </si>
  <si>
    <t>hero/MindControlTower00</t>
  </si>
  <si>
    <t>光棱塔</t>
  </si>
  <si>
    <t>hero/PrismTower00</t>
  </si>
  <si>
    <t>盖特机炮</t>
  </si>
  <si>
    <t>hero/GatlingCannon00</t>
  </si>
  <si>
    <t>20000,16000,14000,3000,2000,800,1000,500,300,20000,5000</t>
  </si>
  <si>
    <t>"s_easyTarget"</t>
  </si>
  <si>
    <t>hero/chengqiang</t>
  </si>
  <si>
    <t>{0,0},{1,0}</t>
  </si>
  <si>
    <t>hero/chengqiang1</t>
  </si>
  <si>
    <t>hero/chengqiang2</t>
  </si>
  <si>
    <t>{0,1},{0,-1},{0,0},{1,1},{1,-1},{1,0}</t>
  </si>
  <si>
    <t>hero/SkyShip</t>
  </si>
  <si>
    <t>-1</t>
  </si>
  <si>
    <t>0</t>
  </si>
  <si>
    <t>hero/Aoding00</t>
  </si>
  <si>
    <t>10000,10000,8000,10000,10000,10000,3000,2000,2000,10000,10000</t>
  </si>
  <si>
    <t>6</t>
  </si>
  <si>
    <t>1000</t>
  </si>
  <si>
    <t>10</t>
  </si>
  <si>
    <t>1200</t>
  </si>
  <si>
    <t>15000</t>
  </si>
  <si>
    <t>30</t>
  </si>
  <si>
    <t>谢尔曼</t>
  </si>
  <si>
    <t>hero/Marv00</t>
  </si>
  <si>
    <t>8</t>
  </si>
  <si>
    <t>10000</t>
  </si>
  <si>
    <t>战斧</t>
  </si>
  <si>
    <t>hero/Akusi00</t>
  </si>
  <si>
    <t>1,3</t>
  </si>
  <si>
    <t>1500</t>
  </si>
  <si>
    <t>机甲巨人</t>
  </si>
  <si>
    <t>hero/King00</t>
  </si>
  <si>
    <t>400</t>
  </si>
  <si>
    <t>1</t>
  </si>
  <si>
    <t>2</t>
  </si>
  <si>
    <t>2000</t>
  </si>
  <si>
    <t>5000</t>
  </si>
  <si>
    <t>hero/CureMan00</t>
  </si>
  <si>
    <t>600</t>
  </si>
  <si>
    <t>章</t>
  </si>
  <si>
    <t>节</t>
  </si>
  <si>
    <t>能力等级</t>
  </si>
  <si>
    <t>装备系数</t>
  </si>
  <si>
    <t>进入等级</t>
  </si>
  <si>
    <t>ID</t>
  </si>
  <si>
    <t>主攻击系数</t>
  </si>
  <si>
    <t>副攻击系数</t>
  </si>
  <si>
    <t>生命系数</t>
  </si>
  <si>
    <t>防御系数</t>
  </si>
  <si>
    <t>飞行与否</t>
  </si>
  <si>
    <t>英雄id</t>
  </si>
  <si>
    <t>空母战机</t>
  </si>
  <si>
    <t>美国大兵</t>
  </si>
  <si>
    <t>盖特坦克</t>
  </si>
  <si>
    <t>灰熊坦克</t>
  </si>
  <si>
    <t>犀牛坦克</t>
  </si>
  <si>
    <t>坦克杀手</t>
  </si>
  <si>
    <t>遥控坦克</t>
  </si>
  <si>
    <t>磁能坦克</t>
  </si>
  <si>
    <t>幻影坦克</t>
  </si>
  <si>
    <t>天启坦克</t>
  </si>
  <si>
    <t>鬼王机甲</t>
  </si>
  <si>
    <t>神经突击车</t>
  </si>
  <si>
    <t>武装采矿车</t>
  </si>
  <si>
    <t>防空车</t>
  </si>
  <si>
    <t>自爆卡车</t>
  </si>
  <si>
    <t>心灵控制车</t>
  </si>
  <si>
    <t>战斗要塞</t>
  </si>
  <si>
    <t>多功能车</t>
  </si>
  <si>
    <t>飞碟</t>
  </si>
  <si>
    <t>入侵者战机</t>
  </si>
  <si>
    <t>黑鹰战机</t>
  </si>
  <si>
    <t>冷冻直升机</t>
  </si>
  <si>
    <t>基洛夫空艇</t>
  </si>
  <si>
    <t>超级要塞</t>
  </si>
  <si>
    <t>时空军团兵</t>
  </si>
  <si>
    <t>谭雅</t>
  </si>
  <si>
    <t>尤里X</t>
  </si>
  <si>
    <t>间谍</t>
  </si>
  <si>
    <t>狗_特殊</t>
  </si>
  <si>
    <t>恐怖机器人_特殊</t>
  </si>
  <si>
    <t>工程师_特殊_不会动</t>
  </si>
  <si>
    <t>美国大兵_特殊_不会射导弹</t>
  </si>
  <si>
    <t>采圆盘加强的超时空</t>
  </si>
  <si>
    <t>世界boss</t>
  </si>
  <si>
    <t>铁丝网</t>
  </si>
  <si>
    <t>弹药箱</t>
  </si>
  <si>
    <t>沙包竖</t>
  </si>
  <si>
    <t>沙包竖弯</t>
  </si>
  <si>
    <t>地堡</t>
  </si>
  <si>
    <t>列车_1</t>
  </si>
  <si>
    <t>列车_2</t>
  </si>
  <si>
    <t>列车_3</t>
  </si>
  <si>
    <t>列车_4</t>
  </si>
  <si>
    <t>列车_5</t>
  </si>
  <si>
    <t>列车_6</t>
  </si>
  <si>
    <t>热带雨林树_1</t>
  </si>
  <si>
    <t>热带雨林树_2</t>
  </si>
  <si>
    <t>城市_广告牌</t>
  </si>
  <si>
    <t>小型车_1</t>
  </si>
  <si>
    <t>小型车_2</t>
  </si>
  <si>
    <t>小型车_3</t>
  </si>
  <si>
    <t>小型车_4</t>
  </si>
  <si>
    <t>小型车_5</t>
  </si>
  <si>
    <t>小型车_6</t>
  </si>
  <si>
    <t>货车</t>
  </si>
  <si>
    <t>小型车_7</t>
  </si>
  <si>
    <t>城市_树</t>
  </si>
  <si>
    <t>路灯_1</t>
  </si>
  <si>
    <t>路灯_2</t>
  </si>
  <si>
    <t>路牌</t>
  </si>
  <si>
    <t>城市_护栏_1</t>
  </si>
  <si>
    <t>城市_护栏_2</t>
  </si>
  <si>
    <t>城市_护栏_3</t>
  </si>
  <si>
    <t>城市_护栏_4</t>
  </si>
  <si>
    <t>城市_护栏_5</t>
  </si>
  <si>
    <t>城市_护栏_6</t>
  </si>
  <si>
    <t>城市_护栏_7</t>
  </si>
  <si>
    <t>城市_护栏_8</t>
  </si>
  <si>
    <t>城市_护栏_9</t>
  </si>
  <si>
    <t>坦克工厂</t>
  </si>
  <si>
    <t>矿石厂</t>
  </si>
  <si>
    <t>科技中心</t>
  </si>
  <si>
    <t>空指部</t>
  </si>
  <si>
    <t>兵营</t>
  </si>
  <si>
    <t>秘密武器</t>
  </si>
  <si>
    <t>战斗碉堡</t>
  </si>
  <si>
    <t>EMP冲击塔</t>
  </si>
  <si>
    <t>级别</t>
  </si>
  <si>
    <t>攻击</t>
  </si>
  <si>
    <t>副攻击</t>
  </si>
  <si>
    <t>防御</t>
  </si>
  <si>
    <t>生命</t>
  </si>
  <si>
    <t>彭涨系数</t>
  </si>
  <si>
    <t>辅助</t>
  </si>
  <si>
    <t>统率力</t>
  </si>
  <si>
    <t>怪物id
1：战役副本（类型1+章2+节2+怪2）
3：日常副本（类型1+章2+节2+怪2）
4：组队副本（类型1+星2+节2+怪2）【礼包单位的测试：41+三位编码+怪物2】
5：夺宝奇兵
6：世界BOSS
7：测试
8：地图摆件（地图8+章2+节2+怪1）
9：抵抗侵略</t>
  </si>
  <si>
    <t>超时空军团兵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</si>
</sst>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_ "/>
  </numFmts>
  <fonts count="30">
    <font>
      <sz val="11"/>
      <color indexed="8"/>
      <name val="宋体"/>
      <charset val="134"/>
    </font>
    <font>
      <sz val="11"/>
      <color indexed="30"/>
      <name val="宋体"/>
      <charset val="134"/>
    </font>
    <font>
      <sz val="11"/>
      <color rgb="FFFF0000"/>
      <name val="宋体"/>
      <charset val="134"/>
    </font>
    <font>
      <sz val="12"/>
      <name val="宋体"/>
      <charset val="134"/>
    </font>
    <font>
      <sz val="11"/>
      <color indexed="10"/>
      <name val="宋体"/>
      <charset val="134"/>
    </font>
    <font>
      <sz val="12"/>
      <color indexed="10"/>
      <name val="宋体"/>
      <charset val="134"/>
    </font>
    <font>
      <sz val="11"/>
      <color indexed="17"/>
      <name val="宋体"/>
      <charset val="134"/>
    </font>
    <font>
      <b/>
      <sz val="11"/>
      <color rgb="FFFF0000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7" fillId="14" borderId="4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32" borderId="9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25" fillId="18" borderId="7" applyNumberFormat="0" applyAlignment="0" applyProtection="0">
      <alignment vertical="center"/>
    </xf>
    <xf numFmtId="0" fontId="19" fillId="18" borderId="4" applyNumberFormat="0" applyAlignment="0" applyProtection="0">
      <alignment vertical="center"/>
    </xf>
    <xf numFmtId="0" fontId="13" fillId="11" borderId="2" applyNumberForma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/>
    <xf numFmtId="0" fontId="0" fillId="0" borderId="0" xfId="0" applyAlignment="1"/>
    <xf numFmtId="0" fontId="0" fillId="0" borderId="0" xfId="0" applyFill="1" applyAlignment="1"/>
    <xf numFmtId="0" fontId="0" fillId="0" borderId="0" xfId="0" applyFont="1" applyFill="1" applyAlignment="1"/>
    <xf numFmtId="0" fontId="3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/>
    <xf numFmtId="0" fontId="5" fillId="3" borderId="0" xfId="0" applyFont="1" applyFill="1" applyAlignment="1">
      <alignment vertical="center"/>
    </xf>
    <xf numFmtId="0" fontId="6" fillId="0" borderId="0" xfId="0" applyFont="1" applyFill="1" applyAlignment="1"/>
    <xf numFmtId="0" fontId="7" fillId="0" borderId="0" xfId="0" applyFont="1">
      <alignment vertical="center"/>
    </xf>
    <xf numFmtId="0" fontId="0" fillId="4" borderId="0" xfId="0" applyFill="1" applyAlignment="1"/>
    <xf numFmtId="0" fontId="0" fillId="4" borderId="0" xfId="0" applyFill="1">
      <alignment vertical="center"/>
    </xf>
    <xf numFmtId="0" fontId="0" fillId="0" borderId="0" xfId="0" applyFill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>
      <alignment vertical="center"/>
    </xf>
    <xf numFmtId="0" fontId="0" fillId="4" borderId="0" xfId="0" applyFill="1" applyAlignment="1">
      <alignment vertical="center"/>
    </xf>
    <xf numFmtId="49" fontId="8" fillId="4" borderId="0" xfId="0" applyNumberFormat="1" applyFont="1" applyFill="1" applyAlignment="1"/>
    <xf numFmtId="176" fontId="0" fillId="4" borderId="0" xfId="0" applyNumberFormat="1" applyFill="1" applyAlignment="1"/>
    <xf numFmtId="176" fontId="8" fillId="4" borderId="0" xfId="0" applyNumberFormat="1" applyFont="1" applyFill="1" applyBorder="1" applyAlignment="1">
      <alignment horizontal="left"/>
    </xf>
    <xf numFmtId="0" fontId="0" fillId="4" borderId="0" xfId="0" applyFont="1" applyFill="1" applyAlignment="1"/>
    <xf numFmtId="0" fontId="3" fillId="4" borderId="0" xfId="0" applyFont="1" applyFill="1" applyAlignment="1">
      <alignment vertical="center"/>
    </xf>
    <xf numFmtId="0" fontId="4" fillId="0" borderId="0" xfId="0" applyFont="1" applyFill="1" applyAlignment="1"/>
    <xf numFmtId="0" fontId="5" fillId="0" borderId="0" xfId="0" applyFont="1" applyFill="1" applyAlignment="1">
      <alignment vertical="center"/>
    </xf>
    <xf numFmtId="0" fontId="8" fillId="0" borderId="0" xfId="0" applyFont="1" applyFill="1" applyAlignment="1"/>
    <xf numFmtId="176" fontId="0" fillId="0" borderId="0" xfId="0" applyNumberFormat="1" applyFill="1" applyAlignment="1"/>
    <xf numFmtId="176" fontId="8" fillId="0" borderId="0" xfId="0" applyNumberFormat="1" applyFont="1" applyFill="1" applyBorder="1" applyAlignment="1">
      <alignment horizontal="left"/>
    </xf>
    <xf numFmtId="0" fontId="4" fillId="4" borderId="0" xfId="0" applyFont="1" applyFill="1" applyAlignment="1"/>
    <xf numFmtId="0" fontId="5" fillId="4" borderId="0" xfId="0" applyFont="1" applyFill="1" applyAlignment="1">
      <alignment vertical="center"/>
    </xf>
    <xf numFmtId="0" fontId="9" fillId="4" borderId="0" xfId="0" applyFont="1" applyFill="1" applyBorder="1" applyAlignment="1"/>
    <xf numFmtId="0" fontId="8" fillId="4" borderId="0" xfId="0" applyFont="1" applyFill="1" applyBorder="1" applyAlignment="1"/>
    <xf numFmtId="176" fontId="9" fillId="4" borderId="0" xfId="0" applyNumberFormat="1" applyFont="1" applyFill="1" applyBorder="1" applyAlignment="1"/>
    <xf numFmtId="0" fontId="8" fillId="4" borderId="0" xfId="0" applyFont="1" applyFill="1" applyAlignment="1"/>
    <xf numFmtId="0" fontId="1" fillId="5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176" fontId="0" fillId="0" borderId="0" xfId="0" applyNumberFormat="1" applyFont="1" applyFill="1" applyAlignment="1"/>
    <xf numFmtId="49" fontId="0" fillId="4" borderId="0" xfId="0" applyNumberFormat="1" applyFill="1">
      <alignment vertical="center"/>
    </xf>
    <xf numFmtId="49" fontId="1" fillId="0" borderId="0" xfId="0" applyNumberFormat="1" applyFont="1" applyFill="1" applyAlignment="1">
      <alignment horizontal="center" vertical="center" wrapText="1"/>
    </xf>
    <xf numFmtId="49" fontId="8" fillId="0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ont="1" applyFill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0" fillId="2" borderId="0" xfId="0" applyFill="1" applyAlignment="1"/>
    <xf numFmtId="0" fontId="0" fillId="2" borderId="0" xfId="0" applyFont="1" applyFill="1" applyAlignment="1"/>
    <xf numFmtId="176" fontId="0" fillId="4" borderId="0" xfId="0" applyNumberFormat="1" applyFont="1" applyFill="1" applyAlignment="1"/>
    <xf numFmtId="49" fontId="9" fillId="4" borderId="0" xfId="0" applyNumberFormat="1" applyFont="1" applyFill="1" applyBorder="1" applyAlignment="1"/>
    <xf numFmtId="0" fontId="9" fillId="4" borderId="0" xfId="0" applyFont="1" applyFill="1" applyBorder="1">
      <alignment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 applyAlignment="1"/>
    <xf numFmtId="0" fontId="10" fillId="4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4" borderId="0" xfId="0" applyFill="1" applyAlignment="1" quotePrefix="1"/>
    <xf numFmtId="0" fontId="0" fillId="0" borderId="0" xfId="0" applyFill="1" applyAlignment="1" quotePrefix="1"/>
    <xf numFmtId="176" fontId="0" fillId="4" borderId="0" xfId="0" applyNumberFormat="1" applyFill="1" applyAlignment="1" quotePrefix="1"/>
    <xf numFmtId="176" fontId="9" fillId="4" borderId="0" xfId="0" applyNumberFormat="1" applyFont="1" applyFill="1" applyBorder="1" applyAlignment="1" quotePrefix="1"/>
    <xf numFmtId="176" fontId="0" fillId="0" borderId="0" xfId="0" applyNumberFormat="1" applyFill="1" applyAlignment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</dxf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ero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英雄基础信息配置表"/>
      <sheetName val="英雄升级配置表"/>
      <sheetName val="英雄军衔配置表"/>
      <sheetName val="英雄军衔与颜色对应关系"/>
      <sheetName val="精英"/>
      <sheetName val="属性计算"/>
      <sheetName val="Sheet1"/>
      <sheetName val="单位特点规划"/>
      <sheetName val="坦克&amp;战车"/>
      <sheetName val="Sheet2"/>
      <sheetName val="战车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>
            <v>1003</v>
          </cell>
          <cell r="B2" t="str">
            <v>犀牛坦克</v>
          </cell>
        </row>
        <row r="2">
          <cell r="D2">
            <v>9000</v>
          </cell>
          <cell r="E2">
            <v>0</v>
          </cell>
          <cell r="F2">
            <v>10000</v>
          </cell>
          <cell r="G2">
            <v>10000</v>
          </cell>
        </row>
        <row r="3">
          <cell r="A3">
            <v>1009</v>
          </cell>
          <cell r="B3" t="str">
            <v>盖特坦克</v>
          </cell>
        </row>
        <row r="3">
          <cell r="D3">
            <v>9750</v>
          </cell>
          <cell r="E3">
            <v>0</v>
          </cell>
          <cell r="F3">
            <v>5600</v>
          </cell>
          <cell r="G3">
            <v>10500</v>
          </cell>
        </row>
        <row r="4">
          <cell r="A4">
            <v>1005</v>
          </cell>
          <cell r="B4" t="str">
            <v>灰熊坦克</v>
          </cell>
        </row>
        <row r="4">
          <cell r="D4">
            <v>8400</v>
          </cell>
          <cell r="E4">
            <v>0</v>
          </cell>
          <cell r="F4">
            <v>12400</v>
          </cell>
          <cell r="G4">
            <v>15000</v>
          </cell>
        </row>
        <row r="5">
          <cell r="A5">
            <v>1008</v>
          </cell>
          <cell r="B5" t="str">
            <v>遥控坦克</v>
          </cell>
        </row>
        <row r="5">
          <cell r="D5">
            <v>12200</v>
          </cell>
          <cell r="E5">
            <v>0</v>
          </cell>
          <cell r="F5">
            <v>15000</v>
          </cell>
          <cell r="G5">
            <v>11000</v>
          </cell>
        </row>
        <row r="6">
          <cell r="A6">
            <v>1007</v>
          </cell>
          <cell r="B6" t="str">
            <v>磁能坦克</v>
          </cell>
        </row>
        <row r="6">
          <cell r="D6">
            <v>15300</v>
          </cell>
          <cell r="E6">
            <v>0</v>
          </cell>
          <cell r="F6">
            <v>13500</v>
          </cell>
          <cell r="G6">
            <v>18700</v>
          </cell>
        </row>
        <row r="7">
          <cell r="A7">
            <v>1001</v>
          </cell>
          <cell r="B7" t="str">
            <v>幻影坦克</v>
          </cell>
        </row>
        <row r="7">
          <cell r="D7">
            <v>16600</v>
          </cell>
          <cell r="E7">
            <v>0</v>
          </cell>
          <cell r="F7">
            <v>15700</v>
          </cell>
          <cell r="G7">
            <v>18500</v>
          </cell>
        </row>
        <row r="8">
          <cell r="A8">
            <v>1004</v>
          </cell>
          <cell r="B8" t="str">
            <v>坦克杀手</v>
          </cell>
        </row>
        <row r="8">
          <cell r="D8">
            <v>20000</v>
          </cell>
          <cell r="E8">
            <v>0</v>
          </cell>
          <cell r="F8">
            <v>15100</v>
          </cell>
          <cell r="G8">
            <v>19300</v>
          </cell>
        </row>
        <row r="9">
          <cell r="A9">
            <v>1006</v>
          </cell>
          <cell r="B9" t="str">
            <v>光棱坦克</v>
          </cell>
        </row>
        <row r="9">
          <cell r="D9">
            <v>16600</v>
          </cell>
          <cell r="E9">
            <v>0</v>
          </cell>
          <cell r="F9">
            <v>18700</v>
          </cell>
          <cell r="G9">
            <v>21500</v>
          </cell>
        </row>
        <row r="10">
          <cell r="A10">
            <v>2009</v>
          </cell>
          <cell r="B10" t="str">
            <v>武装采矿车</v>
          </cell>
        </row>
        <row r="10">
          <cell r="D10">
            <v>2300</v>
          </cell>
          <cell r="E10">
            <v>3000</v>
          </cell>
          <cell r="F10">
            <v>7900</v>
          </cell>
          <cell r="G10">
            <v>9000</v>
          </cell>
        </row>
        <row r="11">
          <cell r="A11">
            <v>2005</v>
          </cell>
          <cell r="B11" t="str">
            <v>防空车</v>
          </cell>
        </row>
        <row r="11">
          <cell r="D11">
            <v>7000</v>
          </cell>
          <cell r="E11">
            <v>0</v>
          </cell>
          <cell r="F11">
            <v>11000</v>
          </cell>
          <cell r="G11">
            <v>5400</v>
          </cell>
        </row>
        <row r="12">
          <cell r="A12">
            <v>2001</v>
          </cell>
          <cell r="B12" t="str">
            <v>多功能车</v>
          </cell>
        </row>
        <row r="12">
          <cell r="D12">
            <v>9300</v>
          </cell>
          <cell r="E12">
            <v>0</v>
          </cell>
          <cell r="F12">
            <v>7600</v>
          </cell>
          <cell r="G12">
            <v>5300</v>
          </cell>
        </row>
        <row r="13">
          <cell r="A13">
            <v>2007</v>
          </cell>
          <cell r="B13" t="str">
            <v>神经突击车</v>
          </cell>
        </row>
        <row r="13">
          <cell r="D13">
            <v>5100</v>
          </cell>
          <cell r="E13">
            <v>0</v>
          </cell>
          <cell r="F13">
            <v>10700</v>
          </cell>
          <cell r="G13">
            <v>1900</v>
          </cell>
        </row>
        <row r="14">
          <cell r="A14">
            <v>2002</v>
          </cell>
          <cell r="B14" t="str">
            <v>恐怖机器人</v>
          </cell>
        </row>
        <row r="14">
          <cell r="D14">
            <v>5100</v>
          </cell>
          <cell r="E14">
            <v>15100</v>
          </cell>
          <cell r="F14">
            <v>8900</v>
          </cell>
          <cell r="G14">
            <v>4100</v>
          </cell>
        </row>
        <row r="15">
          <cell r="A15">
            <v>2003</v>
          </cell>
          <cell r="B15" t="str">
            <v>自爆卡车</v>
          </cell>
        </row>
        <row r="15">
          <cell r="D15">
            <v>11500</v>
          </cell>
          <cell r="E15">
            <v>0</v>
          </cell>
          <cell r="F15">
            <v>1800</v>
          </cell>
          <cell r="G15">
            <v>1500</v>
          </cell>
        </row>
        <row r="16">
          <cell r="A16">
            <v>2006</v>
          </cell>
          <cell r="B16" t="str">
            <v>v3火箭</v>
          </cell>
        </row>
        <row r="16">
          <cell r="D16">
            <v>65000</v>
          </cell>
          <cell r="E16">
            <v>0</v>
          </cell>
          <cell r="F16">
            <v>18800</v>
          </cell>
          <cell r="G16">
            <v>10100</v>
          </cell>
        </row>
        <row r="17">
          <cell r="A17">
            <v>2010</v>
          </cell>
          <cell r="B17" t="str">
            <v>法国巨炮</v>
          </cell>
        </row>
        <row r="17">
          <cell r="D17">
            <v>42700</v>
          </cell>
          <cell r="E17">
            <v>0</v>
          </cell>
          <cell r="F17">
            <v>22800</v>
          </cell>
          <cell r="G17">
            <v>12900</v>
          </cell>
        </row>
        <row r="18">
          <cell r="A18">
            <v>1002</v>
          </cell>
          <cell r="B18" t="str">
            <v>天启坦克</v>
          </cell>
        </row>
        <row r="18">
          <cell r="D18">
            <v>15100</v>
          </cell>
          <cell r="E18">
            <v>7500</v>
          </cell>
          <cell r="F18">
            <v>28300</v>
          </cell>
          <cell r="G18">
            <v>12900</v>
          </cell>
        </row>
        <row r="19">
          <cell r="A19">
            <v>2004</v>
          </cell>
          <cell r="B19" t="str">
            <v>心灵控制车</v>
          </cell>
        </row>
        <row r="19">
          <cell r="D19">
            <v>14200</v>
          </cell>
          <cell r="E19">
            <v>14200</v>
          </cell>
          <cell r="F19">
            <v>21200</v>
          </cell>
          <cell r="G19">
            <v>3700</v>
          </cell>
        </row>
        <row r="20">
          <cell r="A20">
            <v>2008</v>
          </cell>
          <cell r="B20" t="str">
            <v>战斗要塞</v>
          </cell>
        </row>
        <row r="20">
          <cell r="D20">
            <v>6000</v>
          </cell>
          <cell r="E20">
            <v>4500</v>
          </cell>
          <cell r="F20">
            <v>27200</v>
          </cell>
          <cell r="G20">
            <v>14100</v>
          </cell>
        </row>
        <row r="21">
          <cell r="A21">
            <v>1010</v>
          </cell>
          <cell r="B21" t="str">
            <v>未来坦克</v>
          </cell>
        </row>
        <row r="21">
          <cell r="D21">
            <v>48700</v>
          </cell>
          <cell r="E21">
            <v>0</v>
          </cell>
          <cell r="F21">
            <v>27000</v>
          </cell>
          <cell r="G21">
            <v>20100</v>
          </cell>
        </row>
        <row r="22">
          <cell r="A22">
            <v>1011</v>
          </cell>
          <cell r="B22" t="str">
            <v>鬼王机甲</v>
          </cell>
        </row>
        <row r="22">
          <cell r="D22">
            <v>17300</v>
          </cell>
          <cell r="E22">
            <v>19030</v>
          </cell>
          <cell r="F22">
            <v>36200</v>
          </cell>
          <cell r="G22">
            <v>30300</v>
          </cell>
        </row>
        <row r="23">
          <cell r="A23">
            <v>3003</v>
          </cell>
          <cell r="B23" t="str">
            <v>武装直升机</v>
          </cell>
        </row>
        <row r="23">
          <cell r="D23">
            <v>5600</v>
          </cell>
          <cell r="E23">
            <v>7200</v>
          </cell>
          <cell r="F23">
            <v>6800</v>
          </cell>
          <cell r="G23">
            <v>5300</v>
          </cell>
        </row>
        <row r="24">
          <cell r="A24">
            <v>3005</v>
          </cell>
          <cell r="B24" t="str">
            <v>黑鹰战机</v>
          </cell>
        </row>
        <row r="24">
          <cell r="D24">
            <v>12500</v>
          </cell>
          <cell r="E24">
            <v>0</v>
          </cell>
          <cell r="F24">
            <v>5900</v>
          </cell>
          <cell r="G24">
            <v>8900</v>
          </cell>
        </row>
        <row r="25">
          <cell r="A25">
            <v>3002</v>
          </cell>
          <cell r="B25" t="str">
            <v>基洛夫空艇</v>
          </cell>
        </row>
        <row r="25">
          <cell r="D25">
            <v>12600</v>
          </cell>
          <cell r="E25">
            <v>0</v>
          </cell>
          <cell r="F25">
            <v>30400</v>
          </cell>
          <cell r="G25">
            <v>25200</v>
          </cell>
        </row>
        <row r="26">
          <cell r="A26">
            <v>3001</v>
          </cell>
          <cell r="B26" t="str">
            <v>飞碟</v>
          </cell>
        </row>
        <row r="26">
          <cell r="D26">
            <v>5900</v>
          </cell>
          <cell r="E26">
            <v>0</v>
          </cell>
          <cell r="F26">
            <v>11900</v>
          </cell>
          <cell r="G26">
            <v>3200</v>
          </cell>
        </row>
        <row r="27">
          <cell r="A27">
            <v>3004</v>
          </cell>
          <cell r="B27" t="str">
            <v>入侵者战机</v>
          </cell>
        </row>
        <row r="27">
          <cell r="D27">
            <v>10800</v>
          </cell>
          <cell r="E27">
            <v>15500</v>
          </cell>
          <cell r="F27">
            <v>6100</v>
          </cell>
          <cell r="G27">
            <v>7900</v>
          </cell>
        </row>
        <row r="28">
          <cell r="A28">
            <v>3006</v>
          </cell>
          <cell r="B28" t="str">
            <v>冷冻直升机</v>
          </cell>
        </row>
        <row r="28">
          <cell r="D28">
            <v>7000</v>
          </cell>
          <cell r="E28">
            <v>0</v>
          </cell>
          <cell r="F28">
            <v>12300</v>
          </cell>
          <cell r="G28">
            <v>8100</v>
          </cell>
        </row>
        <row r="29">
          <cell r="A29">
            <v>3007</v>
          </cell>
          <cell r="B29" t="str">
            <v>超级要塞</v>
          </cell>
        </row>
        <row r="29">
          <cell r="D29">
            <v>22600</v>
          </cell>
          <cell r="E29">
            <v>18600</v>
          </cell>
          <cell r="F29">
            <v>35900</v>
          </cell>
          <cell r="G29">
            <v>12300</v>
          </cell>
        </row>
        <row r="30">
          <cell r="A30">
            <v>4001</v>
          </cell>
          <cell r="B30" t="str">
            <v>美国大兵</v>
          </cell>
        </row>
        <row r="30">
          <cell r="D30">
            <v>2200</v>
          </cell>
          <cell r="E30">
            <v>4500</v>
          </cell>
          <cell r="F30">
            <v>4500</v>
          </cell>
          <cell r="G30">
            <v>3200</v>
          </cell>
        </row>
        <row r="31">
          <cell r="A31">
            <v>4007</v>
          </cell>
          <cell r="B31" t="str">
            <v>间谍</v>
          </cell>
        </row>
        <row r="31">
          <cell r="D31">
            <v>2200</v>
          </cell>
          <cell r="E31">
            <v>0</v>
          </cell>
          <cell r="F31">
            <v>4500</v>
          </cell>
          <cell r="G31">
            <v>3200</v>
          </cell>
        </row>
        <row r="32">
          <cell r="A32">
            <v>4006</v>
          </cell>
          <cell r="B32" t="str">
            <v>警犬</v>
          </cell>
        </row>
        <row r="32">
          <cell r="D32">
            <v>5200</v>
          </cell>
          <cell r="E32">
            <v>1000</v>
          </cell>
          <cell r="F32">
            <v>3500</v>
          </cell>
          <cell r="G32">
            <v>5200</v>
          </cell>
        </row>
        <row r="33">
          <cell r="A33">
            <v>4005</v>
          </cell>
          <cell r="B33" t="str">
            <v>时空军团兵</v>
          </cell>
        </row>
        <row r="33">
          <cell r="D33">
            <v>6600</v>
          </cell>
          <cell r="E33">
            <v>0</v>
          </cell>
          <cell r="F33">
            <v>11600</v>
          </cell>
          <cell r="G33">
            <v>7100</v>
          </cell>
        </row>
        <row r="34">
          <cell r="A34">
            <v>4002</v>
          </cell>
          <cell r="B34" t="str">
            <v>谭雅</v>
          </cell>
        </row>
        <row r="34">
          <cell r="D34">
            <v>6750</v>
          </cell>
          <cell r="E34">
            <v>93900</v>
          </cell>
          <cell r="F34">
            <v>6700</v>
          </cell>
          <cell r="G34">
            <v>8300</v>
          </cell>
        </row>
        <row r="35">
          <cell r="A35">
            <v>4003</v>
          </cell>
          <cell r="B35" t="str">
            <v>娜塔莎</v>
          </cell>
        </row>
        <row r="35">
          <cell r="D35">
            <v>5000</v>
          </cell>
          <cell r="E35">
            <v>120000</v>
          </cell>
          <cell r="F35">
            <v>8700</v>
          </cell>
          <cell r="G35">
            <v>10300</v>
          </cell>
        </row>
        <row r="36">
          <cell r="A36">
            <v>4004</v>
          </cell>
          <cell r="B36" t="str">
            <v>尤里X</v>
          </cell>
        </row>
        <row r="36">
          <cell r="D36">
            <v>14200</v>
          </cell>
          <cell r="E36">
            <v>142000</v>
          </cell>
          <cell r="F36">
            <v>21200</v>
          </cell>
          <cell r="G36">
            <v>3700</v>
          </cell>
        </row>
        <row r="37">
          <cell r="A37">
            <v>4008</v>
          </cell>
          <cell r="B37" t="str">
            <v>工程师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44"/>
  <sheetViews>
    <sheetView workbookViewId="0">
      <pane ySplit="3" topLeftCell="A6" activePane="bottomLeft" state="frozen"/>
      <selection/>
      <selection pane="bottomLeft" activeCell="B17" sqref="B17"/>
    </sheetView>
  </sheetViews>
  <sheetFormatPr defaultColWidth="9" defaultRowHeight="13.5"/>
  <cols>
    <col min="1" max="11" width="16.125" customWidth="1"/>
  </cols>
  <sheetData>
    <row r="1" ht="156.95" customHeight="1" spans="1:11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/>
      <c r="C2" s="2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>
      <c r="A3" s="1" t="s">
        <v>21</v>
      </c>
      <c r="B3" s="1" t="s">
        <v>22</v>
      </c>
      <c r="C3" t="s">
        <v>21</v>
      </c>
      <c r="D3" s="1" t="s">
        <v>21</v>
      </c>
      <c r="E3" s="1" t="s">
        <v>21</v>
      </c>
      <c r="F3" s="1" t="s">
        <v>21</v>
      </c>
      <c r="G3" s="1" t="s">
        <v>21</v>
      </c>
      <c r="H3" s="1" t="s">
        <v>21</v>
      </c>
      <c r="I3" s="1" t="s">
        <v>21</v>
      </c>
      <c r="J3" s="1" t="s">
        <v>21</v>
      </c>
      <c r="K3" s="1" t="s">
        <v>21</v>
      </c>
    </row>
    <row r="4" spans="1:9">
      <c r="A4">
        <v>1010107</v>
      </c>
      <c r="B4" t="s">
        <v>23</v>
      </c>
      <c r="C4">
        <v>20006</v>
      </c>
      <c r="D4">
        <v>0</v>
      </c>
      <c r="E4">
        <v>0</v>
      </c>
      <c r="F4">
        <v>0</v>
      </c>
      <c r="G4">
        <v>0</v>
      </c>
      <c r="H4">
        <v>5000</v>
      </c>
      <c r="I4">
        <v>1</v>
      </c>
    </row>
    <row r="5" s="58" customFormat="1" spans="1:9">
      <c r="A5" s="58">
        <v>8888888</v>
      </c>
      <c r="B5" s="58" t="s">
        <v>24</v>
      </c>
      <c r="C5" s="58">
        <v>10121</v>
      </c>
      <c r="D5" s="58">
        <v>0</v>
      </c>
      <c r="E5" s="58">
        <v>42</v>
      </c>
      <c r="F5" s="58">
        <v>0</v>
      </c>
      <c r="G5" s="58">
        <v>0</v>
      </c>
      <c r="H5" s="58">
        <v>500</v>
      </c>
      <c r="I5" s="58">
        <v>27</v>
      </c>
    </row>
    <row r="6" s="58" customFormat="1" spans="1:9">
      <c r="A6" s="58">
        <v>7712001</v>
      </c>
      <c r="B6" s="58" t="s">
        <v>25</v>
      </c>
      <c r="C6" s="58">
        <v>10130</v>
      </c>
      <c r="D6" s="58">
        <v>4</v>
      </c>
      <c r="E6" s="58">
        <v>63</v>
      </c>
      <c r="F6" s="58">
        <v>0</v>
      </c>
      <c r="G6" s="58">
        <v>0</v>
      </c>
      <c r="H6" s="58">
        <v>500</v>
      </c>
      <c r="I6" s="58">
        <v>90</v>
      </c>
    </row>
    <row r="7" s="58" customFormat="1" ht="15" customHeight="1" spans="1:9">
      <c r="A7" s="58">
        <v>1020804</v>
      </c>
      <c r="B7" s="58" t="s">
        <v>26</v>
      </c>
      <c r="C7" s="58">
        <v>61000</v>
      </c>
      <c r="D7" s="58">
        <v>3</v>
      </c>
      <c r="E7" s="58">
        <v>50</v>
      </c>
      <c r="F7" s="58">
        <v>0</v>
      </c>
      <c r="G7" s="58">
        <v>0</v>
      </c>
      <c r="H7" s="58">
        <v>500</v>
      </c>
      <c r="I7" s="58">
        <v>6</v>
      </c>
    </row>
    <row r="8" s="58" customFormat="1" spans="1:9">
      <c r="A8" s="58">
        <v>1030505</v>
      </c>
      <c r="B8" s="58" t="s">
        <v>27</v>
      </c>
      <c r="C8" s="58">
        <v>10117</v>
      </c>
      <c r="D8" s="58">
        <v>3</v>
      </c>
      <c r="E8" s="58">
        <v>42</v>
      </c>
      <c r="F8" s="58">
        <v>0</v>
      </c>
      <c r="G8" s="58">
        <v>0</v>
      </c>
      <c r="H8" s="58">
        <v>500</v>
      </c>
      <c r="I8" s="58">
        <v>8</v>
      </c>
    </row>
    <row r="9" s="58" customFormat="1" spans="1:9">
      <c r="A9" s="58">
        <v>1060203</v>
      </c>
      <c r="B9" s="58" t="s">
        <v>28</v>
      </c>
      <c r="C9" s="58">
        <v>10134</v>
      </c>
      <c r="D9" s="58">
        <v>1</v>
      </c>
      <c r="E9" s="58">
        <v>32</v>
      </c>
      <c r="F9" s="58">
        <v>0</v>
      </c>
      <c r="G9" s="58">
        <v>0</v>
      </c>
      <c r="H9" s="58">
        <v>500</v>
      </c>
      <c r="I9" s="58">
        <v>27</v>
      </c>
    </row>
    <row r="10" s="58" customFormat="1" spans="1:9">
      <c r="A10" s="58">
        <v>1080808</v>
      </c>
      <c r="B10" s="58" t="s">
        <v>29</v>
      </c>
      <c r="C10" s="58">
        <v>10110</v>
      </c>
      <c r="D10" s="58">
        <v>6</v>
      </c>
      <c r="E10" s="58">
        <v>21</v>
      </c>
      <c r="F10" s="58">
        <v>0</v>
      </c>
      <c r="G10" s="58">
        <v>0</v>
      </c>
      <c r="H10" s="58">
        <v>500</v>
      </c>
      <c r="I10" s="58">
        <v>47</v>
      </c>
    </row>
    <row r="11" s="58" customFormat="1" spans="1:9">
      <c r="A11" s="58">
        <v>1030912</v>
      </c>
      <c r="B11" s="58" t="s">
        <v>30</v>
      </c>
      <c r="C11" s="58">
        <v>20105</v>
      </c>
      <c r="D11" s="58">
        <v>0</v>
      </c>
      <c r="E11" s="58">
        <v>26</v>
      </c>
      <c r="F11" s="58">
        <v>0</v>
      </c>
      <c r="G11" s="58">
        <v>0</v>
      </c>
      <c r="H11" s="58">
        <v>750</v>
      </c>
      <c r="I11" s="58">
        <v>9</v>
      </c>
    </row>
    <row r="12" s="58" customFormat="1" spans="1:9">
      <c r="A12" s="58">
        <v>1020504</v>
      </c>
      <c r="B12" s="58" t="s">
        <v>31</v>
      </c>
      <c r="C12" s="58">
        <v>20101</v>
      </c>
      <c r="D12" s="58">
        <v>0</v>
      </c>
      <c r="E12" s="58">
        <v>53</v>
      </c>
      <c r="F12" s="58">
        <v>0</v>
      </c>
      <c r="G12" s="58">
        <v>0</v>
      </c>
      <c r="H12" s="58">
        <v>750</v>
      </c>
      <c r="I12" s="58">
        <v>4</v>
      </c>
    </row>
    <row r="13" s="58" customFormat="1" spans="1:9">
      <c r="A13" s="58">
        <v>7608220</v>
      </c>
      <c r="B13" s="58" t="s">
        <v>32</v>
      </c>
      <c r="C13" s="58">
        <v>20102</v>
      </c>
      <c r="D13" s="58">
        <v>0</v>
      </c>
      <c r="E13" s="58">
        <v>53</v>
      </c>
      <c r="F13" s="58">
        <v>0</v>
      </c>
      <c r="G13" s="58">
        <v>0</v>
      </c>
      <c r="H13" s="58">
        <v>750</v>
      </c>
      <c r="I13" s="58">
        <v>95</v>
      </c>
    </row>
    <row r="14" s="58" customFormat="1" spans="1:9">
      <c r="A14" s="58">
        <v>7610206</v>
      </c>
      <c r="B14" s="58" t="s">
        <v>33</v>
      </c>
      <c r="C14" s="58">
        <v>10116</v>
      </c>
      <c r="D14" s="58">
        <v>4</v>
      </c>
      <c r="E14" s="58">
        <v>105</v>
      </c>
      <c r="F14" s="58">
        <v>0</v>
      </c>
      <c r="G14" s="58">
        <v>0</v>
      </c>
      <c r="H14" s="58">
        <v>1500</v>
      </c>
      <c r="I14" s="58">
        <v>125</v>
      </c>
    </row>
    <row r="15" s="58" customFormat="1" spans="1:9">
      <c r="A15" s="58">
        <v>7700009</v>
      </c>
      <c r="B15" s="58" t="s">
        <v>34</v>
      </c>
      <c r="C15" s="58">
        <v>20104</v>
      </c>
      <c r="D15" s="58">
        <v>0</v>
      </c>
      <c r="E15" s="58">
        <v>53</v>
      </c>
      <c r="F15" s="58">
        <v>0</v>
      </c>
      <c r="G15" s="58">
        <v>0</v>
      </c>
      <c r="H15" s="58">
        <v>750</v>
      </c>
      <c r="I15" s="58">
        <v>35</v>
      </c>
    </row>
    <row r="16" s="58" customFormat="1" spans="1:9">
      <c r="A16" s="58">
        <v>8010303</v>
      </c>
      <c r="B16" s="58" t="s">
        <v>35</v>
      </c>
      <c r="C16" s="58">
        <v>20009</v>
      </c>
      <c r="D16" s="58">
        <v>0</v>
      </c>
      <c r="E16" s="58">
        <v>35</v>
      </c>
      <c r="F16" s="58">
        <v>0</v>
      </c>
      <c r="G16" s="58">
        <v>0</v>
      </c>
      <c r="H16" s="58">
        <v>500</v>
      </c>
      <c r="I16" s="58">
        <v>1</v>
      </c>
    </row>
    <row r="17" s="58" customFormat="1" spans="1:9">
      <c r="A17" s="58">
        <v>8010308</v>
      </c>
      <c r="B17" s="58" t="s">
        <v>36</v>
      </c>
      <c r="C17" s="58">
        <v>20001</v>
      </c>
      <c r="D17" s="58">
        <v>0</v>
      </c>
      <c r="E17" s="58">
        <v>0</v>
      </c>
      <c r="F17" s="58">
        <v>0</v>
      </c>
      <c r="G17" s="58">
        <v>0</v>
      </c>
      <c r="H17" s="58">
        <v>1000</v>
      </c>
      <c r="I17" s="58">
        <v>1</v>
      </c>
    </row>
    <row r="18" spans="1:9">
      <c r="A18">
        <v>9999991</v>
      </c>
      <c r="B18" t="s">
        <v>37</v>
      </c>
      <c r="C18">
        <v>20007</v>
      </c>
      <c r="D18">
        <v>0</v>
      </c>
      <c r="E18">
        <v>0</v>
      </c>
      <c r="F18">
        <v>0</v>
      </c>
      <c r="G18">
        <v>0</v>
      </c>
      <c r="H18">
        <v>5000</v>
      </c>
      <c r="I18">
        <v>1</v>
      </c>
    </row>
    <row r="19" spans="1:9">
      <c r="A19">
        <v>9999992</v>
      </c>
      <c r="B19" t="s">
        <v>38</v>
      </c>
      <c r="C19">
        <v>20008</v>
      </c>
      <c r="D19">
        <v>0</v>
      </c>
      <c r="E19">
        <v>0</v>
      </c>
      <c r="F19">
        <v>0</v>
      </c>
      <c r="G19">
        <v>0</v>
      </c>
      <c r="H19">
        <v>5000</v>
      </c>
      <c r="I19">
        <v>1</v>
      </c>
    </row>
    <row r="20" s="58" customFormat="1" spans="1:9">
      <c r="A20" s="58">
        <v>9999993</v>
      </c>
      <c r="B20" s="58" t="s">
        <v>37</v>
      </c>
      <c r="C20" s="58">
        <v>70001</v>
      </c>
      <c r="D20" s="58">
        <v>0</v>
      </c>
      <c r="E20" s="58">
        <v>0</v>
      </c>
      <c r="F20" s="58">
        <v>0</v>
      </c>
      <c r="G20" s="58">
        <v>0</v>
      </c>
      <c r="H20" s="58">
        <v>1</v>
      </c>
      <c r="I20" s="58">
        <v>1</v>
      </c>
    </row>
    <row r="21" s="58" customFormat="1" spans="1:9">
      <c r="A21" s="58">
        <v>9999983</v>
      </c>
      <c r="B21" s="58" t="s">
        <v>39</v>
      </c>
      <c r="C21" s="58">
        <v>71001</v>
      </c>
      <c r="D21" s="58">
        <v>0</v>
      </c>
      <c r="E21" s="58">
        <v>0</v>
      </c>
      <c r="F21" s="58">
        <v>0</v>
      </c>
      <c r="G21" s="58">
        <v>0</v>
      </c>
      <c r="H21" s="58">
        <v>1</v>
      </c>
      <c r="I21" s="58">
        <v>1</v>
      </c>
    </row>
    <row r="22" s="58" customFormat="1" spans="1:9">
      <c r="A22" s="58">
        <v>9999994</v>
      </c>
      <c r="B22" s="58" t="s">
        <v>40</v>
      </c>
      <c r="C22" s="58">
        <v>70002</v>
      </c>
      <c r="D22" s="58">
        <v>0</v>
      </c>
      <c r="E22" s="58">
        <v>0</v>
      </c>
      <c r="F22" s="58">
        <v>0</v>
      </c>
      <c r="G22" s="58">
        <v>0</v>
      </c>
      <c r="H22" s="58">
        <v>1</v>
      </c>
      <c r="I22" s="58">
        <v>1</v>
      </c>
    </row>
    <row r="23" s="58" customFormat="1" spans="1:9">
      <c r="A23" s="58">
        <v>9999995</v>
      </c>
      <c r="B23" s="58" t="s">
        <v>41</v>
      </c>
      <c r="C23" s="58">
        <v>70003</v>
      </c>
      <c r="D23" s="58">
        <v>0</v>
      </c>
      <c r="E23" s="58">
        <v>0</v>
      </c>
      <c r="F23" s="58">
        <v>0</v>
      </c>
      <c r="G23" s="58">
        <v>0</v>
      </c>
      <c r="H23" s="58">
        <v>15000</v>
      </c>
      <c r="I23" s="58">
        <v>1</v>
      </c>
    </row>
    <row r="24" s="58" customFormat="1" spans="1:9">
      <c r="A24" s="58">
        <v>9999985</v>
      </c>
      <c r="B24" s="58" t="s">
        <v>42</v>
      </c>
      <c r="C24" s="58">
        <v>70013</v>
      </c>
      <c r="D24" s="58">
        <v>0</v>
      </c>
      <c r="E24" s="58">
        <v>0</v>
      </c>
      <c r="F24" s="58">
        <v>0</v>
      </c>
      <c r="G24" s="58">
        <v>0</v>
      </c>
      <c r="H24" s="58">
        <v>15000</v>
      </c>
      <c r="I24" s="58">
        <v>1</v>
      </c>
    </row>
    <row r="25" s="58" customFormat="1" spans="1:9">
      <c r="A25" s="58">
        <v>9999975</v>
      </c>
      <c r="B25" s="58" t="s">
        <v>43</v>
      </c>
      <c r="C25" s="58">
        <v>70023</v>
      </c>
      <c r="D25" s="58">
        <v>0</v>
      </c>
      <c r="E25" s="58">
        <v>0</v>
      </c>
      <c r="F25" s="58">
        <v>0</v>
      </c>
      <c r="G25" s="58">
        <v>0</v>
      </c>
      <c r="H25" s="58">
        <v>15000</v>
      </c>
      <c r="I25" s="58">
        <v>1</v>
      </c>
    </row>
    <row r="26" customFormat="1" spans="1:10">
      <c r="A26">
        <v>9999996</v>
      </c>
      <c r="B26" t="s">
        <v>44</v>
      </c>
      <c r="C26">
        <v>70004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="58" customFormat="1" spans="1:10">
      <c r="A27" s="58">
        <v>8000001</v>
      </c>
      <c r="B27" s="58" t="s">
        <v>45</v>
      </c>
      <c r="C27" s="58">
        <v>60005</v>
      </c>
      <c r="D27" s="58">
        <v>4</v>
      </c>
      <c r="E27" s="58">
        <v>42</v>
      </c>
      <c r="F27" s="58">
        <v>280</v>
      </c>
      <c r="G27" s="58">
        <v>0</v>
      </c>
      <c r="H27" s="58">
        <v>4500</v>
      </c>
      <c r="I27" s="58">
        <v>44</v>
      </c>
      <c r="J27" s="58">
        <v>1</v>
      </c>
    </row>
    <row r="28" s="58" customFormat="1" spans="1:10">
      <c r="A28" s="58">
        <v>8000002</v>
      </c>
      <c r="B28" s="58" t="s">
        <v>46</v>
      </c>
      <c r="C28" s="58">
        <v>60006</v>
      </c>
      <c r="D28" s="58">
        <v>4</v>
      </c>
      <c r="E28" s="58">
        <v>84</v>
      </c>
      <c r="F28" s="58">
        <v>560</v>
      </c>
      <c r="G28" s="58">
        <v>0</v>
      </c>
      <c r="H28" s="58">
        <v>4500</v>
      </c>
      <c r="I28" s="58">
        <v>44</v>
      </c>
      <c r="J28" s="58">
        <v>1</v>
      </c>
    </row>
    <row r="29" s="58" customFormat="1" spans="1:10">
      <c r="A29" s="58">
        <v>8000003</v>
      </c>
      <c r="B29" s="58" t="s">
        <v>47</v>
      </c>
      <c r="C29" s="58">
        <v>60007</v>
      </c>
      <c r="D29" s="58">
        <v>4</v>
      </c>
      <c r="E29" s="58">
        <v>28</v>
      </c>
      <c r="F29" s="58">
        <v>560</v>
      </c>
      <c r="G29" s="58">
        <v>0</v>
      </c>
      <c r="H29" s="58">
        <v>4500</v>
      </c>
      <c r="I29" s="58">
        <v>44</v>
      </c>
      <c r="J29" s="58">
        <v>1</v>
      </c>
    </row>
    <row r="30" s="58" customFormat="1" spans="1:10">
      <c r="A30" s="58">
        <v>8000004</v>
      </c>
      <c r="B30" s="58" t="s">
        <v>48</v>
      </c>
      <c r="C30" s="58">
        <v>60008</v>
      </c>
      <c r="D30" s="58">
        <v>4</v>
      </c>
      <c r="E30" s="58">
        <v>84</v>
      </c>
      <c r="F30" s="58">
        <v>840</v>
      </c>
      <c r="G30" s="58">
        <v>0</v>
      </c>
      <c r="H30" s="58">
        <v>4500</v>
      </c>
      <c r="I30" s="58">
        <v>44</v>
      </c>
      <c r="J30" s="58">
        <v>1</v>
      </c>
    </row>
    <row r="31" spans="1:9">
      <c r="A31">
        <v>9999999</v>
      </c>
      <c r="B31" t="s">
        <v>49</v>
      </c>
      <c r="C31">
        <v>99999</v>
      </c>
      <c r="D31">
        <v>0</v>
      </c>
      <c r="E31">
        <v>0</v>
      </c>
      <c r="F31">
        <v>0</v>
      </c>
      <c r="G31">
        <v>0</v>
      </c>
      <c r="H31">
        <v>10000</v>
      </c>
      <c r="I31">
        <v>1</v>
      </c>
    </row>
    <row r="32" customFormat="1" spans="1:9">
      <c r="A32">
        <v>9999998</v>
      </c>
      <c r="B32" t="s">
        <v>50</v>
      </c>
      <c r="C32">
        <v>99998</v>
      </c>
      <c r="D32">
        <v>0</v>
      </c>
      <c r="E32">
        <v>0</v>
      </c>
      <c r="F32">
        <v>0</v>
      </c>
      <c r="G32">
        <v>0</v>
      </c>
      <c r="H32">
        <v>10000</v>
      </c>
      <c r="I32">
        <v>1</v>
      </c>
    </row>
    <row r="33" customFormat="1" spans="1:9">
      <c r="A33">
        <v>9999997</v>
      </c>
      <c r="B33" t="s">
        <v>51</v>
      </c>
      <c r="C33">
        <v>10121</v>
      </c>
      <c r="D33">
        <v>6</v>
      </c>
      <c r="E33">
        <v>5</v>
      </c>
      <c r="F33">
        <v>0</v>
      </c>
      <c r="G33">
        <v>0</v>
      </c>
      <c r="H33">
        <v>9999999</v>
      </c>
      <c r="I33">
        <v>47</v>
      </c>
    </row>
    <row r="34" spans="1:9">
      <c r="A34">
        <v>8888889</v>
      </c>
      <c r="B34" t="s">
        <v>52</v>
      </c>
      <c r="C34">
        <v>61000</v>
      </c>
      <c r="D34">
        <v>3</v>
      </c>
      <c r="E34">
        <v>80</v>
      </c>
      <c r="F34">
        <v>100</v>
      </c>
      <c r="G34">
        <v>0</v>
      </c>
      <c r="H34">
        <v>1000</v>
      </c>
      <c r="I34">
        <v>6</v>
      </c>
    </row>
    <row r="35" s="59" customFormat="1" spans="1:10">
      <c r="A35" s="59">
        <v>6000001</v>
      </c>
      <c r="B35" s="59" t="s">
        <v>53</v>
      </c>
      <c r="C35" s="59">
        <v>60001</v>
      </c>
      <c r="D35" s="59">
        <v>4</v>
      </c>
      <c r="E35" s="59">
        <v>21</v>
      </c>
      <c r="F35" s="59">
        <v>140</v>
      </c>
      <c r="G35" s="59">
        <v>0</v>
      </c>
      <c r="H35" s="59">
        <v>2500</v>
      </c>
      <c r="I35" s="59">
        <v>44</v>
      </c>
      <c r="J35" s="59">
        <v>1</v>
      </c>
    </row>
    <row r="36" s="59" customFormat="1" spans="1:10">
      <c r="A36" s="59">
        <v>6000002</v>
      </c>
      <c r="B36" s="59" t="s">
        <v>46</v>
      </c>
      <c r="C36" s="59">
        <v>60002</v>
      </c>
      <c r="D36" s="59">
        <v>4</v>
      </c>
      <c r="E36" s="59">
        <v>42</v>
      </c>
      <c r="F36" s="59">
        <v>280</v>
      </c>
      <c r="G36" s="59">
        <v>0</v>
      </c>
      <c r="H36" s="59">
        <v>2500</v>
      </c>
      <c r="I36" s="59">
        <v>44</v>
      </c>
      <c r="J36" s="59">
        <v>1</v>
      </c>
    </row>
    <row r="37" s="59" customFormat="1" spans="1:10">
      <c r="A37" s="59">
        <v>6000003</v>
      </c>
      <c r="B37" s="59" t="s">
        <v>47</v>
      </c>
      <c r="C37" s="59">
        <v>60003</v>
      </c>
      <c r="D37" s="59">
        <v>4</v>
      </c>
      <c r="E37" s="59">
        <v>14</v>
      </c>
      <c r="F37" s="59">
        <v>280</v>
      </c>
      <c r="G37" s="59">
        <v>0</v>
      </c>
      <c r="H37" s="59">
        <v>2500</v>
      </c>
      <c r="I37" s="59">
        <v>44</v>
      </c>
      <c r="J37" s="59">
        <v>1</v>
      </c>
    </row>
    <row r="38" s="59" customFormat="1" spans="1:10">
      <c r="A38" s="59">
        <v>6000004</v>
      </c>
      <c r="B38" s="59" t="s">
        <v>48</v>
      </c>
      <c r="C38" s="59">
        <v>60004</v>
      </c>
      <c r="D38" s="59">
        <v>4</v>
      </c>
      <c r="E38" s="59">
        <v>42</v>
      </c>
      <c r="F38" s="59">
        <v>420</v>
      </c>
      <c r="G38" s="59">
        <v>0</v>
      </c>
      <c r="H38" s="59">
        <v>2500</v>
      </c>
      <c r="I38" s="59">
        <v>44</v>
      </c>
      <c r="J38" s="59">
        <v>1</v>
      </c>
    </row>
    <row r="39" s="59" customFormat="1" spans="1:9">
      <c r="A39" s="59">
        <v>6000005</v>
      </c>
      <c r="B39" s="59" t="s">
        <v>54</v>
      </c>
      <c r="C39" s="15">
        <v>50001</v>
      </c>
      <c r="D39" s="59">
        <v>6</v>
      </c>
      <c r="E39" s="59">
        <v>56</v>
      </c>
      <c r="F39" s="59">
        <v>0</v>
      </c>
      <c r="G39" s="59">
        <v>0</v>
      </c>
      <c r="H39" s="59">
        <v>3000</v>
      </c>
      <c r="I39" s="59">
        <v>47</v>
      </c>
    </row>
    <row r="40" s="59" customFormat="1" spans="1:9">
      <c r="A40" s="59">
        <v>6000006</v>
      </c>
      <c r="B40" s="59" t="s">
        <v>55</v>
      </c>
      <c r="C40" s="15">
        <v>50004</v>
      </c>
      <c r="D40" s="59">
        <v>1</v>
      </c>
      <c r="E40" s="59">
        <v>84</v>
      </c>
      <c r="F40" s="59">
        <v>0</v>
      </c>
      <c r="G40" s="59">
        <v>0</v>
      </c>
      <c r="H40" s="59">
        <v>1500</v>
      </c>
      <c r="I40" s="59">
        <v>27</v>
      </c>
    </row>
    <row r="41" s="59" customFormat="1" spans="1:9">
      <c r="A41" s="59">
        <v>6000007</v>
      </c>
      <c r="B41" s="59" t="s">
        <v>56</v>
      </c>
      <c r="C41" s="15">
        <v>50005</v>
      </c>
      <c r="D41" s="59">
        <v>0</v>
      </c>
      <c r="E41" s="59">
        <v>56</v>
      </c>
      <c r="F41" s="59">
        <v>0</v>
      </c>
      <c r="G41" s="59">
        <v>0</v>
      </c>
      <c r="H41" s="59">
        <v>4000</v>
      </c>
      <c r="I41" s="59">
        <v>27</v>
      </c>
    </row>
    <row r="42" s="59" customFormat="1" spans="1:9">
      <c r="A42" s="59">
        <v>6000008</v>
      </c>
      <c r="B42" s="59" t="s">
        <v>57</v>
      </c>
      <c r="C42" s="15">
        <v>50003</v>
      </c>
      <c r="D42" s="59">
        <v>4</v>
      </c>
      <c r="E42" s="59">
        <v>168</v>
      </c>
      <c r="F42" s="59">
        <v>100</v>
      </c>
      <c r="G42" s="59">
        <v>0</v>
      </c>
      <c r="H42" s="59">
        <v>2000</v>
      </c>
      <c r="I42" s="59">
        <v>90</v>
      </c>
    </row>
    <row r="43" s="59" customFormat="1" spans="1:9">
      <c r="A43" s="59">
        <v>6000009</v>
      </c>
      <c r="B43" s="59" t="s">
        <v>58</v>
      </c>
      <c r="C43" s="15">
        <v>50006</v>
      </c>
      <c r="D43" s="59">
        <v>3</v>
      </c>
      <c r="E43" s="59">
        <v>120</v>
      </c>
      <c r="F43" s="59">
        <v>100</v>
      </c>
      <c r="G43" s="59">
        <v>0</v>
      </c>
      <c r="H43" s="59">
        <v>2000</v>
      </c>
      <c r="I43" s="59">
        <v>6</v>
      </c>
    </row>
    <row r="44" s="59" customFormat="1" spans="1:9">
      <c r="A44" s="59">
        <v>6000010</v>
      </c>
      <c r="B44" s="59" t="s">
        <v>59</v>
      </c>
      <c r="C44" s="15">
        <v>50002</v>
      </c>
      <c r="D44" s="59">
        <v>3</v>
      </c>
      <c r="E44" s="59">
        <v>168</v>
      </c>
      <c r="F44" s="59">
        <v>0</v>
      </c>
      <c r="G44" s="59">
        <v>0</v>
      </c>
      <c r="H44" s="59">
        <v>2000</v>
      </c>
      <c r="I44" s="59">
        <v>8</v>
      </c>
    </row>
  </sheetData>
  <sortState ref="A2:W19">
    <sortCondition ref="A4"/>
  </sortState>
  <conditionalFormatting sqref="A18:A19 A1 A4 A7 A12">
    <cfRule type="expression" dxfId="0" priority="1" stopIfTrue="1">
      <formula>AND(SUMPRODUCT(1*(($A:$A&amp;"x")=(A1&amp;"x")))&gt;1,NOT(ISBLANK(A1)))</formula>
    </cfRule>
  </conditionalFormatting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D29" sqref="D29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Q44"/>
  <sheetViews>
    <sheetView tabSelected="1" workbookViewId="0">
      <pane xSplit="2" ySplit="3" topLeftCell="N24" activePane="bottomRight" state="frozen"/>
      <selection/>
      <selection pane="topRight"/>
      <selection pane="bottomLeft"/>
      <selection pane="bottomRight" activeCell="B31" sqref="B31"/>
    </sheetView>
  </sheetViews>
  <sheetFormatPr defaultColWidth="9" defaultRowHeight="13.5"/>
  <cols>
    <col min="2" max="2" width="24.875" customWidth="1"/>
    <col min="3" max="3" width="31.125" customWidth="1"/>
    <col min="4" max="5" width="9" customWidth="1" outlineLevel="1"/>
    <col min="6" max="6" width="16.75" customWidth="1" outlineLevel="1"/>
    <col min="7" max="7" width="12.875" customWidth="1" outlineLevel="1"/>
    <col min="8" max="8" width="19.375" customWidth="1" outlineLevel="1"/>
    <col min="9" max="9" width="9" customWidth="1" outlineLevel="1"/>
    <col min="10" max="10" width="16.375" customWidth="1" outlineLevel="1"/>
    <col min="11" max="11" width="15.875" customWidth="1" outlineLevel="1"/>
    <col min="12" max="12" width="9" customWidth="1" outlineLevel="1"/>
    <col min="13" max="13" width="43.375" style="18" customWidth="1" outlineLevel="1"/>
    <col min="14" max="14" width="32.5" style="19" customWidth="1"/>
    <col min="15" max="15" width="20.375" style="6" customWidth="1" outlineLevel="1"/>
    <col min="16" max="16" width="21" style="19" customWidth="1"/>
    <col min="17" max="17" width="16.125" style="19" customWidth="1"/>
    <col min="18" max="18" width="64.875" style="19"/>
    <col min="19" max="19" width="9" style="19"/>
    <col min="20" max="20" width="19.375" style="19" customWidth="1"/>
    <col min="21" max="21" width="9" style="19"/>
    <col min="22" max="23" width="21.875" style="19" customWidth="1"/>
    <col min="24" max="24" width="14.375" style="19" customWidth="1"/>
    <col min="25" max="25" width="10.375" style="19"/>
    <col min="26" max="26" width="24.625" style="19" customWidth="1"/>
    <col min="27" max="29" width="10.375"/>
    <col min="30" max="30" width="10.5" customWidth="1"/>
    <col min="31" max="31" width="32.875" customWidth="1"/>
    <col min="32" max="32" width="41" customWidth="1"/>
    <col min="35" max="35" width="11.5"/>
    <col min="37" max="37" width="12.625"/>
    <col min="38" max="38" width="14.25" customWidth="1"/>
    <col min="41" max="41" width="19.25" customWidth="1"/>
  </cols>
  <sheetData>
    <row r="1" s="5" customFormat="1" ht="231.95" customHeight="1" spans="1:41">
      <c r="A1" s="1" t="s">
        <v>60</v>
      </c>
      <c r="B1" s="1" t="s">
        <v>1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37" t="s">
        <v>70</v>
      </c>
      <c r="M1" s="38" t="s">
        <v>71</v>
      </c>
      <c r="N1" s="38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41" t="s">
        <v>85</v>
      </c>
      <c r="AB1" s="1" t="s">
        <v>86</v>
      </c>
      <c r="AC1" s="41" t="s">
        <v>87</v>
      </c>
      <c r="AD1" s="1" t="s">
        <v>86</v>
      </c>
      <c r="AE1" s="42" t="s">
        <v>88</v>
      </c>
      <c r="AF1" s="43" t="s">
        <v>89</v>
      </c>
      <c r="AG1" s="45" t="s">
        <v>90</v>
      </c>
      <c r="AH1" s="46" t="s">
        <v>91</v>
      </c>
      <c r="AI1" s="45" t="s">
        <v>92</v>
      </c>
      <c r="AJ1" s="45" t="s">
        <v>93</v>
      </c>
      <c r="AK1" s="45" t="s">
        <v>94</v>
      </c>
      <c r="AL1" s="1" t="s">
        <v>95</v>
      </c>
      <c r="AM1" s="47" t="s">
        <v>96</v>
      </c>
      <c r="AN1" s="48" t="s">
        <v>97</v>
      </c>
      <c r="AO1" s="54" t="s">
        <v>98</v>
      </c>
    </row>
    <row r="2" s="5" customFormat="1" ht="19.5" customHeight="1" spans="1:41">
      <c r="A2" s="1" t="s">
        <v>11</v>
      </c>
      <c r="B2" s="1" t="s">
        <v>99</v>
      </c>
      <c r="C2" s="1" t="s">
        <v>100</v>
      </c>
      <c r="D2" s="1" t="s">
        <v>101</v>
      </c>
      <c r="E2" s="1" t="s">
        <v>102</v>
      </c>
      <c r="F2" s="1" t="s">
        <v>103</v>
      </c>
      <c r="G2" s="1" t="s">
        <v>104</v>
      </c>
      <c r="H2" s="1" t="s">
        <v>105</v>
      </c>
      <c r="I2" s="1" t="s">
        <v>106</v>
      </c>
      <c r="J2" s="1" t="s">
        <v>107</v>
      </c>
      <c r="K2" s="1" t="s">
        <v>108</v>
      </c>
      <c r="L2" s="37" t="s">
        <v>109</v>
      </c>
      <c r="M2" s="38" t="s">
        <v>110</v>
      </c>
      <c r="N2" s="38" t="s">
        <v>111</v>
      </c>
      <c r="O2" s="1" t="s">
        <v>112</v>
      </c>
      <c r="P2" s="1" t="s">
        <v>113</v>
      </c>
      <c r="Q2" s="1" t="s">
        <v>114</v>
      </c>
      <c r="R2" s="1" t="s">
        <v>115</v>
      </c>
      <c r="S2" s="1" t="s">
        <v>116</v>
      </c>
      <c r="T2" s="1" t="s">
        <v>117</v>
      </c>
      <c r="U2" s="1" t="s">
        <v>118</v>
      </c>
      <c r="V2" s="1"/>
      <c r="W2" s="1" t="s">
        <v>119</v>
      </c>
      <c r="X2" s="1" t="s">
        <v>120</v>
      </c>
      <c r="Y2" s="1" t="s">
        <v>121</v>
      </c>
      <c r="Z2" s="1"/>
      <c r="AA2" s="41" t="s">
        <v>122</v>
      </c>
      <c r="AB2" s="1" t="s">
        <v>123</v>
      </c>
      <c r="AC2" s="41" t="s">
        <v>124</v>
      </c>
      <c r="AD2" s="1" t="s">
        <v>125</v>
      </c>
      <c r="AE2" s="42" t="s">
        <v>126</v>
      </c>
      <c r="AF2" s="44" t="s">
        <v>127</v>
      </c>
      <c r="AG2" s="5" t="s">
        <v>128</v>
      </c>
      <c r="AH2" s="49" t="s">
        <v>129</v>
      </c>
      <c r="AI2" s="5" t="s">
        <v>130</v>
      </c>
      <c r="AJ2" s="5" t="s">
        <v>131</v>
      </c>
      <c r="AK2" s="5" t="s">
        <v>132</v>
      </c>
      <c r="AL2" s="1" t="s">
        <v>133</v>
      </c>
      <c r="AM2" s="50" t="s">
        <v>134</v>
      </c>
      <c r="AN2" s="48" t="s">
        <v>135</v>
      </c>
      <c r="AO2" s="55" t="s">
        <v>136</v>
      </c>
    </row>
    <row r="3" s="5" customFormat="1" spans="1:41">
      <c r="A3" s="1" t="s">
        <v>21</v>
      </c>
      <c r="B3" s="1" t="s">
        <v>22</v>
      </c>
      <c r="C3" s="1" t="s">
        <v>22</v>
      </c>
      <c r="D3" s="1" t="s">
        <v>21</v>
      </c>
      <c r="E3" s="1" t="s">
        <v>21</v>
      </c>
      <c r="F3" s="1" t="s">
        <v>137</v>
      </c>
      <c r="G3" s="1" t="s">
        <v>21</v>
      </c>
      <c r="H3" s="1" t="s">
        <v>21</v>
      </c>
      <c r="I3" s="1" t="s">
        <v>21</v>
      </c>
      <c r="J3" s="1" t="s">
        <v>21</v>
      </c>
      <c r="K3" s="1" t="s">
        <v>138</v>
      </c>
      <c r="L3" s="37" t="s">
        <v>21</v>
      </c>
      <c r="M3" s="38" t="s">
        <v>138</v>
      </c>
      <c r="N3" s="38" t="s">
        <v>138</v>
      </c>
      <c r="O3" s="1" t="s">
        <v>138</v>
      </c>
      <c r="P3" s="1" t="s">
        <v>21</v>
      </c>
      <c r="Q3" s="1" t="s">
        <v>139</v>
      </c>
      <c r="R3" s="1" t="s">
        <v>138</v>
      </c>
      <c r="S3" s="1" t="s">
        <v>138</v>
      </c>
      <c r="T3" s="1" t="s">
        <v>21</v>
      </c>
      <c r="U3" s="1" t="s">
        <v>21</v>
      </c>
      <c r="V3" s="1" t="s">
        <v>139</v>
      </c>
      <c r="W3" s="1" t="s">
        <v>139</v>
      </c>
      <c r="X3" s="1" t="s">
        <v>21</v>
      </c>
      <c r="Y3" s="1" t="s">
        <v>21</v>
      </c>
      <c r="Z3" s="1" t="s">
        <v>138</v>
      </c>
      <c r="AA3" s="41" t="s">
        <v>138</v>
      </c>
      <c r="AB3" s="1" t="s">
        <v>138</v>
      </c>
      <c r="AC3" s="41" t="s">
        <v>138</v>
      </c>
      <c r="AD3" s="1" t="s">
        <v>138</v>
      </c>
      <c r="AE3" s="42" t="s">
        <v>138</v>
      </c>
      <c r="AF3" s="44" t="s">
        <v>138</v>
      </c>
      <c r="AG3" s="5" t="s">
        <v>138</v>
      </c>
      <c r="AH3" s="49" t="s">
        <v>138</v>
      </c>
      <c r="AI3" s="5" t="s">
        <v>138</v>
      </c>
      <c r="AJ3" s="5" t="s">
        <v>21</v>
      </c>
      <c r="AK3" s="5" t="s">
        <v>138</v>
      </c>
      <c r="AL3" s="1" t="s">
        <v>21</v>
      </c>
      <c r="AM3" s="50" t="s">
        <v>140</v>
      </c>
      <c r="AN3" s="48" t="s">
        <v>21</v>
      </c>
      <c r="AO3" s="55" t="s">
        <v>21</v>
      </c>
    </row>
    <row r="4" s="15" customFormat="1" spans="1:41">
      <c r="A4" s="15">
        <v>10110</v>
      </c>
      <c r="B4" s="20" t="s">
        <v>141</v>
      </c>
      <c r="C4" s="21" t="s">
        <v>142</v>
      </c>
      <c r="D4" s="22"/>
      <c r="E4" s="23"/>
      <c r="F4" s="22"/>
      <c r="G4" s="22">
        <v>0</v>
      </c>
      <c r="H4" s="22">
        <v>2</v>
      </c>
      <c r="I4" s="22"/>
      <c r="J4" s="22">
        <v>1</v>
      </c>
      <c r="K4" s="22"/>
      <c r="L4" s="22">
        <v>6</v>
      </c>
      <c r="M4" s="22" t="s">
        <v>143</v>
      </c>
      <c r="N4" s="22"/>
      <c r="O4" s="22">
        <v>0</v>
      </c>
      <c r="P4" s="22">
        <v>6</v>
      </c>
      <c r="Q4" s="22" t="s">
        <v>144</v>
      </c>
      <c r="R4" s="22" t="s">
        <v>145</v>
      </c>
      <c r="S4" s="22"/>
      <c r="T4" s="22">
        <v>600</v>
      </c>
      <c r="U4" s="22"/>
      <c r="V4" s="22">
        <v>2</v>
      </c>
      <c r="W4" s="22"/>
      <c r="X4" s="22">
        <v>2000</v>
      </c>
      <c r="Y4" s="22"/>
      <c r="Z4" s="22">
        <v>30</v>
      </c>
      <c r="AA4" s="22">
        <v>70001</v>
      </c>
      <c r="AB4" s="22">
        <v>1</v>
      </c>
      <c r="AC4" s="22"/>
      <c r="AD4" s="22"/>
      <c r="AE4" s="22" t="s">
        <v>146</v>
      </c>
      <c r="AF4" s="22"/>
      <c r="AG4" s="22"/>
      <c r="AH4" s="22"/>
      <c r="AI4" s="22">
        <v>50003</v>
      </c>
      <c r="AJ4" s="22"/>
      <c r="AK4" s="22"/>
      <c r="AL4" s="22">
        <v>1</v>
      </c>
      <c r="AM4" s="22"/>
      <c r="AN4" s="16">
        <v>0</v>
      </c>
      <c r="AO4" s="56">
        <v>1010</v>
      </c>
    </row>
    <row r="5" s="15" customFormat="1" spans="1:41">
      <c r="A5" s="15">
        <v>10116</v>
      </c>
      <c r="B5" s="20" t="s">
        <v>147</v>
      </c>
      <c r="C5" s="21" t="s">
        <v>148</v>
      </c>
      <c r="D5" s="22">
        <v>1</v>
      </c>
      <c r="E5" s="23"/>
      <c r="F5" s="22"/>
      <c r="G5" s="22">
        <v>0</v>
      </c>
      <c r="H5" s="22">
        <v>2</v>
      </c>
      <c r="I5" s="22"/>
      <c r="J5" s="22">
        <v>1</v>
      </c>
      <c r="K5" s="22"/>
      <c r="L5" s="22">
        <v>4</v>
      </c>
      <c r="M5" s="22" t="s">
        <v>149</v>
      </c>
      <c r="N5" s="22"/>
      <c r="O5" s="22">
        <v>0</v>
      </c>
      <c r="P5" s="22">
        <v>7</v>
      </c>
      <c r="Q5" s="22" t="s">
        <v>150</v>
      </c>
      <c r="R5" s="22" t="s">
        <v>145</v>
      </c>
      <c r="S5" s="22"/>
      <c r="T5" s="22">
        <v>-1</v>
      </c>
      <c r="U5" s="22"/>
      <c r="V5" s="22">
        <v>15</v>
      </c>
      <c r="W5" s="22"/>
      <c r="X5" s="22">
        <v>3000</v>
      </c>
      <c r="Y5" s="22"/>
      <c r="Z5" s="22">
        <v>15</v>
      </c>
      <c r="AA5" s="22">
        <v>70002</v>
      </c>
      <c r="AB5" s="22">
        <v>1</v>
      </c>
      <c r="AC5" s="22"/>
      <c r="AD5" s="22"/>
      <c r="AE5" s="22" t="s">
        <v>151</v>
      </c>
      <c r="AF5" s="22"/>
      <c r="AG5" s="22"/>
      <c r="AH5" s="22"/>
      <c r="AI5" s="22">
        <v>50004</v>
      </c>
      <c r="AJ5" s="22"/>
      <c r="AK5" s="22"/>
      <c r="AL5" s="22">
        <v>12</v>
      </c>
      <c r="AM5" s="22"/>
      <c r="AN5" s="16">
        <v>3</v>
      </c>
      <c r="AO5" s="56">
        <v>2010</v>
      </c>
    </row>
    <row r="6" s="15" customFormat="1" spans="1:41">
      <c r="A6" s="15">
        <v>10117</v>
      </c>
      <c r="B6" s="24" t="s">
        <v>152</v>
      </c>
      <c r="C6" s="21" t="s">
        <v>153</v>
      </c>
      <c r="D6" s="22"/>
      <c r="E6" s="23"/>
      <c r="F6" s="22"/>
      <c r="G6" s="22">
        <v>0</v>
      </c>
      <c r="H6" s="22">
        <v>2</v>
      </c>
      <c r="I6" s="22"/>
      <c r="J6" s="22">
        <v>1</v>
      </c>
      <c r="K6" s="22"/>
      <c r="L6" s="22">
        <v>3</v>
      </c>
      <c r="M6" s="60" t="s">
        <v>154</v>
      </c>
      <c r="N6" s="22"/>
      <c r="O6" s="22">
        <v>0</v>
      </c>
      <c r="P6" s="22">
        <v>4</v>
      </c>
      <c r="Q6" s="22" t="s">
        <v>155</v>
      </c>
      <c r="R6" s="22"/>
      <c r="S6" s="22"/>
      <c r="T6" s="22">
        <v>1200</v>
      </c>
      <c r="U6" s="22"/>
      <c r="V6" s="22">
        <v>18</v>
      </c>
      <c r="W6" s="22"/>
      <c r="X6" s="22">
        <v>6000</v>
      </c>
      <c r="Y6" s="22"/>
      <c r="Z6" s="22">
        <v>30</v>
      </c>
      <c r="AA6" s="22">
        <v>70003</v>
      </c>
      <c r="AB6" s="22">
        <v>1</v>
      </c>
      <c r="AC6" s="22"/>
      <c r="AD6" s="22"/>
      <c r="AE6" s="22" t="s">
        <v>156</v>
      </c>
      <c r="AF6" s="22"/>
      <c r="AG6" s="22"/>
      <c r="AH6" s="22"/>
      <c r="AI6" s="22">
        <v>50003</v>
      </c>
      <c r="AJ6" s="22"/>
      <c r="AK6" s="22"/>
      <c r="AL6" s="22">
        <v>6</v>
      </c>
      <c r="AM6" s="22"/>
      <c r="AN6" s="16">
        <v>0</v>
      </c>
      <c r="AO6" s="56">
        <v>2006</v>
      </c>
    </row>
    <row r="7" s="16" customFormat="1" ht="14.25" spans="1:41">
      <c r="A7" s="15">
        <v>10130</v>
      </c>
      <c r="B7" s="25" t="s">
        <v>157</v>
      </c>
      <c r="C7" s="24" t="s">
        <v>158</v>
      </c>
      <c r="D7" s="22"/>
      <c r="E7" s="23"/>
      <c r="F7" s="22"/>
      <c r="G7" s="22">
        <v>2</v>
      </c>
      <c r="H7" s="22">
        <v>2</v>
      </c>
      <c r="I7" s="22"/>
      <c r="J7" s="22">
        <v>1</v>
      </c>
      <c r="K7" s="22"/>
      <c r="L7" s="22">
        <v>4</v>
      </c>
      <c r="M7" s="60" t="s">
        <v>159</v>
      </c>
      <c r="N7" s="22"/>
      <c r="O7" s="22">
        <v>2</v>
      </c>
      <c r="P7" s="22">
        <v>6</v>
      </c>
      <c r="Q7" s="22" t="s">
        <v>160</v>
      </c>
      <c r="R7" s="22"/>
      <c r="S7" s="22"/>
      <c r="T7" s="22">
        <v>1400</v>
      </c>
      <c r="U7" s="22"/>
      <c r="V7" s="22">
        <v>13</v>
      </c>
      <c r="W7" s="22"/>
      <c r="X7" s="22">
        <v>1000</v>
      </c>
      <c r="Y7" s="22"/>
      <c r="Z7" s="22">
        <v>30</v>
      </c>
      <c r="AA7" s="22">
        <v>70004</v>
      </c>
      <c r="AB7" s="22">
        <v>1</v>
      </c>
      <c r="AC7" s="22"/>
      <c r="AD7" s="22"/>
      <c r="AE7" s="22" t="s">
        <v>161</v>
      </c>
      <c r="AF7" s="22"/>
      <c r="AG7" s="22"/>
      <c r="AH7" s="22"/>
      <c r="AI7" s="51">
        <v>50003</v>
      </c>
      <c r="AJ7" s="22"/>
      <c r="AK7" s="22"/>
      <c r="AL7" s="22">
        <v>4</v>
      </c>
      <c r="AM7" s="22"/>
      <c r="AN7" s="16">
        <v>0</v>
      </c>
      <c r="AO7" s="56">
        <v>4004</v>
      </c>
    </row>
    <row r="8" s="17" customFormat="1" ht="15" customHeight="1" spans="1:41">
      <c r="A8" s="26">
        <v>10132</v>
      </c>
      <c r="B8" s="27" t="s">
        <v>162</v>
      </c>
      <c r="C8" s="28" t="s">
        <v>163</v>
      </c>
      <c r="D8" s="29"/>
      <c r="E8" s="30"/>
      <c r="F8" s="29"/>
      <c r="G8" s="29">
        <v>2</v>
      </c>
      <c r="H8" s="29">
        <v>2</v>
      </c>
      <c r="I8" s="29"/>
      <c r="J8" s="29">
        <v>1</v>
      </c>
      <c r="K8" s="29"/>
      <c r="L8" s="29">
        <v>3</v>
      </c>
      <c r="M8" s="61" t="s">
        <v>164</v>
      </c>
      <c r="N8" s="29" t="s">
        <v>165</v>
      </c>
      <c r="O8" s="29">
        <v>2</v>
      </c>
      <c r="P8" s="29">
        <v>2</v>
      </c>
      <c r="Q8" s="29" t="s">
        <v>160</v>
      </c>
      <c r="R8" s="29"/>
      <c r="S8" s="29"/>
      <c r="T8" s="29">
        <v>1600</v>
      </c>
      <c r="U8" s="29"/>
      <c r="V8" s="29">
        <v>8</v>
      </c>
      <c r="W8" s="29"/>
      <c r="X8" s="29">
        <v>1000</v>
      </c>
      <c r="Y8" s="29"/>
      <c r="Z8" s="29">
        <v>30</v>
      </c>
      <c r="AA8" s="29">
        <v>70005</v>
      </c>
      <c r="AB8" s="29">
        <v>1</v>
      </c>
      <c r="AC8" s="29"/>
      <c r="AD8" s="29"/>
      <c r="AE8" s="29" t="s">
        <v>166</v>
      </c>
      <c r="AF8" s="29"/>
      <c r="AG8" s="29"/>
      <c r="AH8" s="29"/>
      <c r="AI8" s="29">
        <v>50005</v>
      </c>
      <c r="AJ8" s="29"/>
      <c r="AK8" s="29"/>
      <c r="AL8" s="29">
        <v>5</v>
      </c>
      <c r="AM8" s="29"/>
      <c r="AN8" s="17">
        <v>0</v>
      </c>
      <c r="AO8" s="57">
        <v>4003</v>
      </c>
    </row>
    <row r="9" s="15" customFormat="1" ht="15" customHeight="1" spans="1:41">
      <c r="A9" s="31">
        <v>10134</v>
      </c>
      <c r="B9" s="32" t="s">
        <v>167</v>
      </c>
      <c r="C9" s="15" t="s">
        <v>168</v>
      </c>
      <c r="D9" s="22"/>
      <c r="E9" s="23"/>
      <c r="F9" s="22"/>
      <c r="G9" s="22">
        <v>0</v>
      </c>
      <c r="H9" s="22">
        <v>2</v>
      </c>
      <c r="I9" s="22"/>
      <c r="J9" s="22">
        <v>1</v>
      </c>
      <c r="K9" s="22"/>
      <c r="L9" s="22">
        <v>1</v>
      </c>
      <c r="M9" s="22" t="s">
        <v>169</v>
      </c>
      <c r="N9" s="22" t="s">
        <v>170</v>
      </c>
      <c r="O9" s="22">
        <v>0</v>
      </c>
      <c r="P9" s="22">
        <v>4</v>
      </c>
      <c r="Q9" s="22" t="s">
        <v>171</v>
      </c>
      <c r="R9" s="22" t="s">
        <v>145</v>
      </c>
      <c r="S9" s="22"/>
      <c r="T9" s="22">
        <v>800</v>
      </c>
      <c r="U9" s="22"/>
      <c r="V9" s="22">
        <v>3</v>
      </c>
      <c r="W9" s="22"/>
      <c r="X9" s="22">
        <v>1200</v>
      </c>
      <c r="Y9" s="22"/>
      <c r="Z9" s="22">
        <v>30</v>
      </c>
      <c r="AA9" s="22">
        <v>70006</v>
      </c>
      <c r="AB9" s="22">
        <v>1</v>
      </c>
      <c r="AC9" s="22"/>
      <c r="AD9" s="22"/>
      <c r="AE9" s="22" t="s">
        <v>172</v>
      </c>
      <c r="AF9" s="22"/>
      <c r="AG9" s="22"/>
      <c r="AH9" s="22"/>
      <c r="AI9" s="22">
        <v>50003</v>
      </c>
      <c r="AJ9" s="22"/>
      <c r="AK9" s="22"/>
      <c r="AL9" s="22">
        <v>2</v>
      </c>
      <c r="AM9" s="22"/>
      <c r="AN9" s="16">
        <v>0</v>
      </c>
      <c r="AO9" s="15">
        <v>2002</v>
      </c>
    </row>
    <row r="10" s="16" customFormat="1" spans="1:43">
      <c r="A10" s="33">
        <v>10121</v>
      </c>
      <c r="B10" s="33" t="s">
        <v>173</v>
      </c>
      <c r="C10" s="34" t="s">
        <v>174</v>
      </c>
      <c r="D10" s="35"/>
      <c r="E10" s="23"/>
      <c r="F10" s="35"/>
      <c r="G10" s="35">
        <v>0</v>
      </c>
      <c r="H10" s="35">
        <v>1</v>
      </c>
      <c r="I10" s="35">
        <v>130</v>
      </c>
      <c r="J10" s="35">
        <v>1</v>
      </c>
      <c r="K10" s="35"/>
      <c r="L10" s="35">
        <v>2</v>
      </c>
      <c r="M10" s="62" t="s">
        <v>175</v>
      </c>
      <c r="N10" s="35"/>
      <c r="O10" s="35">
        <v>2</v>
      </c>
      <c r="P10" s="35">
        <v>4</v>
      </c>
      <c r="Q10" s="22" t="s">
        <v>160</v>
      </c>
      <c r="R10" s="35"/>
      <c r="S10" s="35"/>
      <c r="T10" s="35">
        <v>1000</v>
      </c>
      <c r="U10" s="35"/>
      <c r="V10" s="35">
        <v>6</v>
      </c>
      <c r="W10" s="35"/>
      <c r="X10" s="35">
        <v>1500</v>
      </c>
      <c r="Y10" s="35"/>
      <c r="Z10" s="35">
        <v>30</v>
      </c>
      <c r="AA10" s="35">
        <v>70007</v>
      </c>
      <c r="AB10" s="35">
        <v>1</v>
      </c>
      <c r="AC10" s="35"/>
      <c r="AD10" s="35"/>
      <c r="AE10" s="35" t="s">
        <v>176</v>
      </c>
      <c r="AF10" s="35"/>
      <c r="AG10" s="35"/>
      <c r="AH10" s="35"/>
      <c r="AI10" s="63" t="s">
        <v>177</v>
      </c>
      <c r="AJ10" s="35"/>
      <c r="AK10" s="52"/>
      <c r="AL10" s="35">
        <v>3</v>
      </c>
      <c r="AM10" s="35"/>
      <c r="AN10" s="53">
        <v>1</v>
      </c>
      <c r="AO10" s="53">
        <v>3003</v>
      </c>
      <c r="AP10" s="53"/>
      <c r="AQ10" s="53"/>
    </row>
    <row r="11" s="17" customFormat="1" spans="1:41">
      <c r="A11" s="6">
        <v>20001</v>
      </c>
      <c r="B11" s="13" t="s">
        <v>178</v>
      </c>
      <c r="C11" s="28" t="s">
        <v>179</v>
      </c>
      <c r="D11" s="29"/>
      <c r="F11" s="29"/>
      <c r="G11" s="29">
        <v>1</v>
      </c>
      <c r="H11" s="29">
        <v>2</v>
      </c>
      <c r="I11" s="29"/>
      <c r="J11" s="29">
        <v>3</v>
      </c>
      <c r="K11" s="29" t="s">
        <v>180</v>
      </c>
      <c r="L11" s="29">
        <v>0</v>
      </c>
      <c r="M11" s="29"/>
      <c r="N11" s="29"/>
      <c r="O11" s="29">
        <v>0</v>
      </c>
      <c r="P11" s="29">
        <v>7</v>
      </c>
      <c r="Q11" s="29"/>
      <c r="R11" s="29"/>
      <c r="S11" s="29"/>
      <c r="T11" s="29">
        <v>-1</v>
      </c>
      <c r="U11" s="29"/>
      <c r="V11" s="29">
        <v>0</v>
      </c>
      <c r="W11" s="29"/>
      <c r="X11" s="29" t="s">
        <v>181</v>
      </c>
      <c r="Y11" s="29"/>
      <c r="Z11" s="29"/>
      <c r="AA11" s="29">
        <v>0</v>
      </c>
      <c r="AB11" s="29"/>
      <c r="AC11" s="29"/>
      <c r="AD11" s="29"/>
      <c r="AE11" s="29"/>
      <c r="AF11" s="29"/>
      <c r="AG11" s="29"/>
      <c r="AH11" s="29"/>
      <c r="AI11" s="64" t="s">
        <v>182</v>
      </c>
      <c r="AJ11" s="29"/>
      <c r="AK11" s="29"/>
      <c r="AL11" s="29">
        <v>8</v>
      </c>
      <c r="AM11" s="29"/>
      <c r="AN11" s="17">
        <v>3</v>
      </c>
      <c r="AO11" s="6">
        <v>6</v>
      </c>
    </row>
    <row r="12" s="17" customFormat="1" spans="1:41">
      <c r="A12" s="6">
        <v>20002</v>
      </c>
      <c r="B12" s="13" t="s">
        <v>178</v>
      </c>
      <c r="C12" s="28" t="s">
        <v>179</v>
      </c>
      <c r="D12" s="29"/>
      <c r="F12" s="29"/>
      <c r="G12" s="29">
        <v>1</v>
      </c>
      <c r="H12" s="29">
        <v>2</v>
      </c>
      <c r="I12" s="29"/>
      <c r="J12" s="29">
        <v>2</v>
      </c>
      <c r="K12" s="29" t="s">
        <v>183</v>
      </c>
      <c r="L12" s="29">
        <v>0</v>
      </c>
      <c r="M12" s="29"/>
      <c r="N12" s="29"/>
      <c r="O12" s="29">
        <v>0</v>
      </c>
      <c r="P12" s="29">
        <v>7</v>
      </c>
      <c r="Q12" s="29"/>
      <c r="R12" s="29"/>
      <c r="S12" s="29"/>
      <c r="T12" s="29">
        <v>-1</v>
      </c>
      <c r="U12" s="29"/>
      <c r="V12" s="29">
        <v>0</v>
      </c>
      <c r="W12" s="29"/>
      <c r="X12" s="29" t="s">
        <v>181</v>
      </c>
      <c r="Y12" s="29"/>
      <c r="Z12" s="29"/>
      <c r="AA12" s="29">
        <v>0</v>
      </c>
      <c r="AB12" s="29"/>
      <c r="AC12" s="29"/>
      <c r="AD12" s="29"/>
      <c r="AE12" s="29"/>
      <c r="AF12" s="29"/>
      <c r="AG12" s="29"/>
      <c r="AH12" s="29"/>
      <c r="AI12" s="64" t="s">
        <v>182</v>
      </c>
      <c r="AJ12" s="29"/>
      <c r="AK12" s="29"/>
      <c r="AL12" s="29">
        <v>8</v>
      </c>
      <c r="AM12" s="29"/>
      <c r="AN12" s="17">
        <v>3</v>
      </c>
      <c r="AO12" s="17">
        <v>7</v>
      </c>
    </row>
    <row r="13" s="17" customFormat="1" spans="1:41">
      <c r="A13" s="6">
        <v>20006</v>
      </c>
      <c r="B13" s="13" t="s">
        <v>23</v>
      </c>
      <c r="C13" s="28" t="s">
        <v>184</v>
      </c>
      <c r="D13" s="29"/>
      <c r="F13" s="29"/>
      <c r="G13" s="29">
        <v>1</v>
      </c>
      <c r="H13" s="29">
        <v>2</v>
      </c>
      <c r="I13" s="29"/>
      <c r="J13" s="29">
        <v>1</v>
      </c>
      <c r="K13" s="39" t="s">
        <v>185</v>
      </c>
      <c r="L13" s="29">
        <v>0</v>
      </c>
      <c r="M13" s="29"/>
      <c r="N13" s="29"/>
      <c r="O13" s="29">
        <v>0</v>
      </c>
      <c r="P13" s="29">
        <v>7</v>
      </c>
      <c r="Q13" s="29"/>
      <c r="R13" s="29"/>
      <c r="S13" s="29"/>
      <c r="T13" s="29">
        <v>-1</v>
      </c>
      <c r="U13" s="29"/>
      <c r="V13" s="29">
        <v>0</v>
      </c>
      <c r="W13" s="29"/>
      <c r="X13" s="29" t="s">
        <v>181</v>
      </c>
      <c r="Y13" s="29"/>
      <c r="Z13" s="29"/>
      <c r="AA13" s="29">
        <v>0</v>
      </c>
      <c r="AB13" s="29"/>
      <c r="AC13" s="29"/>
      <c r="AD13" s="29"/>
      <c r="AE13" s="29"/>
      <c r="AF13" s="29"/>
      <c r="AG13" s="29"/>
      <c r="AH13" s="29"/>
      <c r="AI13" s="29">
        <v>50010</v>
      </c>
      <c r="AJ13" s="29"/>
      <c r="AK13" s="29"/>
      <c r="AL13" s="29">
        <v>7</v>
      </c>
      <c r="AM13" s="29"/>
      <c r="AN13" s="17">
        <v>3</v>
      </c>
      <c r="AO13" s="17">
        <v>11</v>
      </c>
    </row>
    <row r="14" s="17" customFormat="1" spans="1:41">
      <c r="A14" s="6">
        <v>20007</v>
      </c>
      <c r="B14" s="13" t="s">
        <v>37</v>
      </c>
      <c r="C14" s="28" t="s">
        <v>186</v>
      </c>
      <c r="D14" s="29"/>
      <c r="F14" s="29"/>
      <c r="G14" s="29">
        <v>1</v>
      </c>
      <c r="H14" s="29">
        <v>2</v>
      </c>
      <c r="I14" s="29"/>
      <c r="J14" s="29">
        <v>1</v>
      </c>
      <c r="K14" s="39" t="s">
        <v>187</v>
      </c>
      <c r="L14" s="29">
        <v>0</v>
      </c>
      <c r="M14" s="29"/>
      <c r="N14" s="29"/>
      <c r="O14" s="29">
        <v>0</v>
      </c>
      <c r="P14" s="29">
        <v>7</v>
      </c>
      <c r="Q14" s="29"/>
      <c r="R14" s="29"/>
      <c r="S14" s="29"/>
      <c r="T14" s="29">
        <v>-1</v>
      </c>
      <c r="U14" s="29"/>
      <c r="V14" s="29">
        <v>0</v>
      </c>
      <c r="W14" s="29"/>
      <c r="X14" s="29" t="s">
        <v>181</v>
      </c>
      <c r="Y14" s="29"/>
      <c r="Z14" s="29"/>
      <c r="AA14" s="29">
        <v>0</v>
      </c>
      <c r="AB14" s="29"/>
      <c r="AC14" s="29"/>
      <c r="AD14" s="29"/>
      <c r="AE14" s="29"/>
      <c r="AF14" s="29"/>
      <c r="AG14" s="29"/>
      <c r="AH14" s="29"/>
      <c r="AI14" s="29">
        <v>50010</v>
      </c>
      <c r="AJ14" s="29"/>
      <c r="AK14" s="29"/>
      <c r="AL14" s="29">
        <v>7</v>
      </c>
      <c r="AM14" s="29"/>
      <c r="AN14" s="17">
        <v>3</v>
      </c>
      <c r="AO14" s="17">
        <v>11</v>
      </c>
    </row>
    <row r="15" s="17" customFormat="1" spans="1:41">
      <c r="A15" s="6">
        <v>20008</v>
      </c>
      <c r="B15" s="13" t="s">
        <v>38</v>
      </c>
      <c r="C15" s="28" t="s">
        <v>188</v>
      </c>
      <c r="D15" s="29"/>
      <c r="F15" s="29"/>
      <c r="G15" s="29">
        <v>1</v>
      </c>
      <c r="H15" s="29">
        <v>2</v>
      </c>
      <c r="I15" s="29"/>
      <c r="J15" s="29">
        <v>1</v>
      </c>
      <c r="K15" s="39" t="s">
        <v>187</v>
      </c>
      <c r="L15" s="29">
        <v>0</v>
      </c>
      <c r="M15" s="29"/>
      <c r="N15" s="29"/>
      <c r="O15" s="29">
        <v>0</v>
      </c>
      <c r="P15" s="29">
        <v>7</v>
      </c>
      <c r="Q15" s="29"/>
      <c r="R15" s="29"/>
      <c r="S15" s="29"/>
      <c r="T15" s="29">
        <v>-1</v>
      </c>
      <c r="U15" s="29"/>
      <c r="V15" s="29">
        <v>0</v>
      </c>
      <c r="W15" s="29"/>
      <c r="X15" s="29" t="s">
        <v>181</v>
      </c>
      <c r="Y15" s="29"/>
      <c r="Z15" s="29"/>
      <c r="AA15" s="29">
        <v>0</v>
      </c>
      <c r="AB15" s="29"/>
      <c r="AC15" s="29"/>
      <c r="AD15" s="29"/>
      <c r="AE15" s="29"/>
      <c r="AF15" s="29"/>
      <c r="AG15" s="29"/>
      <c r="AH15" s="29"/>
      <c r="AI15" s="29">
        <v>50010</v>
      </c>
      <c r="AJ15" s="29"/>
      <c r="AK15" s="29"/>
      <c r="AL15" s="29">
        <v>7</v>
      </c>
      <c r="AM15" s="29"/>
      <c r="AN15" s="17">
        <v>3</v>
      </c>
      <c r="AO15" s="17">
        <v>11</v>
      </c>
    </row>
    <row r="16" s="16" customFormat="1" spans="1:41">
      <c r="A16" s="15">
        <v>20009</v>
      </c>
      <c r="B16" s="16" t="s">
        <v>189</v>
      </c>
      <c r="C16" s="36" t="s">
        <v>190</v>
      </c>
      <c r="D16" s="22">
        <v>1</v>
      </c>
      <c r="E16" s="23"/>
      <c r="F16" s="22"/>
      <c r="G16" s="22">
        <v>0</v>
      </c>
      <c r="H16" s="22">
        <v>2</v>
      </c>
      <c r="I16" s="22"/>
      <c r="J16" s="22">
        <v>1</v>
      </c>
      <c r="K16" s="22" t="s">
        <v>191</v>
      </c>
      <c r="L16" s="22">
        <v>0</v>
      </c>
      <c r="M16" s="22" t="s">
        <v>192</v>
      </c>
      <c r="N16" s="22"/>
      <c r="O16" s="22">
        <v>1</v>
      </c>
      <c r="P16" s="22">
        <v>7</v>
      </c>
      <c r="Q16" s="22" t="s">
        <v>193</v>
      </c>
      <c r="R16" s="22" t="s">
        <v>194</v>
      </c>
      <c r="S16" s="22"/>
      <c r="T16" s="22">
        <v>-1</v>
      </c>
      <c r="U16" s="22"/>
      <c r="V16" s="22">
        <v>10</v>
      </c>
      <c r="W16" s="22"/>
      <c r="X16" s="22">
        <v>1000</v>
      </c>
      <c r="Y16" s="22"/>
      <c r="Z16" s="22">
        <v>10</v>
      </c>
      <c r="AA16" s="22">
        <v>70008</v>
      </c>
      <c r="AB16" s="22">
        <v>1</v>
      </c>
      <c r="AC16" s="22"/>
      <c r="AD16" s="22"/>
      <c r="AE16" s="22"/>
      <c r="AF16" s="22"/>
      <c r="AG16" s="22"/>
      <c r="AH16" s="22"/>
      <c r="AI16" s="22">
        <v>50011</v>
      </c>
      <c r="AJ16" s="22"/>
      <c r="AK16" s="22"/>
      <c r="AL16" s="22">
        <v>13</v>
      </c>
      <c r="AM16" s="22"/>
      <c r="AN16" s="16">
        <v>3</v>
      </c>
      <c r="AO16" s="15">
        <v>2</v>
      </c>
    </row>
    <row r="17" s="16" customFormat="1" spans="1:41">
      <c r="A17" s="15">
        <v>20101</v>
      </c>
      <c r="B17" s="16" t="s">
        <v>195</v>
      </c>
      <c r="C17" s="36" t="s">
        <v>196</v>
      </c>
      <c r="D17" s="22"/>
      <c r="E17" s="23"/>
      <c r="F17" s="22"/>
      <c r="G17" s="22">
        <v>1</v>
      </c>
      <c r="H17" s="22">
        <v>2</v>
      </c>
      <c r="I17" s="22"/>
      <c r="J17" s="22">
        <v>1</v>
      </c>
      <c r="K17" s="22" t="s">
        <v>191</v>
      </c>
      <c r="L17" s="22">
        <v>0</v>
      </c>
      <c r="M17" s="60" t="s">
        <v>197</v>
      </c>
      <c r="N17" s="22"/>
      <c r="O17" s="22">
        <v>0</v>
      </c>
      <c r="P17" s="22">
        <v>7</v>
      </c>
      <c r="Q17" s="22" t="s">
        <v>171</v>
      </c>
      <c r="R17" s="22" t="s">
        <v>145</v>
      </c>
      <c r="S17" s="22"/>
      <c r="T17" s="22">
        <v>-1</v>
      </c>
      <c r="U17" s="22"/>
      <c r="V17" s="22">
        <v>10</v>
      </c>
      <c r="W17" s="22"/>
      <c r="X17" s="22">
        <v>1200</v>
      </c>
      <c r="Y17" s="22"/>
      <c r="Z17" s="22">
        <v>10</v>
      </c>
      <c r="AA17" s="22">
        <v>70009</v>
      </c>
      <c r="AB17" s="22">
        <v>1</v>
      </c>
      <c r="AC17" s="22"/>
      <c r="AD17" s="22"/>
      <c r="AE17" s="22"/>
      <c r="AF17" s="22">
        <v>72009</v>
      </c>
      <c r="AG17" s="22"/>
      <c r="AH17" s="22"/>
      <c r="AI17" s="22">
        <v>50010</v>
      </c>
      <c r="AJ17" s="22"/>
      <c r="AK17" s="22"/>
      <c r="AL17" s="22">
        <v>11</v>
      </c>
      <c r="AM17" s="22"/>
      <c r="AN17" s="16">
        <v>3</v>
      </c>
      <c r="AO17" s="15">
        <v>2</v>
      </c>
    </row>
    <row r="18" s="16" customFormat="1" spans="1:41">
      <c r="A18" s="15">
        <v>20102</v>
      </c>
      <c r="B18" s="16" t="s">
        <v>198</v>
      </c>
      <c r="C18" s="36" t="s">
        <v>199</v>
      </c>
      <c r="D18" s="22"/>
      <c r="E18" s="23"/>
      <c r="F18" s="22"/>
      <c r="G18" s="22">
        <v>1</v>
      </c>
      <c r="H18" s="22">
        <v>2</v>
      </c>
      <c r="I18" s="22"/>
      <c r="J18" s="22">
        <v>1</v>
      </c>
      <c r="K18" s="22" t="s">
        <v>191</v>
      </c>
      <c r="L18" s="22">
        <v>0</v>
      </c>
      <c r="M18" s="62" t="s">
        <v>192</v>
      </c>
      <c r="N18" s="22"/>
      <c r="O18" s="22">
        <v>0</v>
      </c>
      <c r="P18" s="22">
        <v>7</v>
      </c>
      <c r="Q18" s="22" t="s">
        <v>171</v>
      </c>
      <c r="R18" s="22" t="s">
        <v>145</v>
      </c>
      <c r="S18" s="22"/>
      <c r="T18" s="22">
        <v>-1</v>
      </c>
      <c r="U18" s="22"/>
      <c r="V18" s="22">
        <v>10</v>
      </c>
      <c r="W18" s="22"/>
      <c r="X18" s="22">
        <v>1800</v>
      </c>
      <c r="Y18" s="22"/>
      <c r="Z18" s="22">
        <v>10</v>
      </c>
      <c r="AA18" s="22">
        <v>70010</v>
      </c>
      <c r="AB18" s="22">
        <v>1</v>
      </c>
      <c r="AC18" s="22"/>
      <c r="AD18" s="22"/>
      <c r="AE18" s="22"/>
      <c r="AF18" s="22">
        <v>71010</v>
      </c>
      <c r="AG18" s="22"/>
      <c r="AH18" s="22"/>
      <c r="AI18" s="22">
        <v>50010</v>
      </c>
      <c r="AJ18" s="22"/>
      <c r="AK18" s="22"/>
      <c r="AL18" s="22">
        <v>14</v>
      </c>
      <c r="AM18" s="22"/>
      <c r="AN18" s="16">
        <v>3</v>
      </c>
      <c r="AO18" s="15">
        <v>2</v>
      </c>
    </row>
    <row r="19" s="16" customFormat="1" spans="1:41">
      <c r="A19" s="15">
        <v>20104</v>
      </c>
      <c r="B19" s="16" t="s">
        <v>200</v>
      </c>
      <c r="C19" s="36" t="s">
        <v>201</v>
      </c>
      <c r="D19" s="22"/>
      <c r="E19" s="23"/>
      <c r="F19" s="22"/>
      <c r="G19" s="22">
        <v>1</v>
      </c>
      <c r="H19" s="22">
        <v>2</v>
      </c>
      <c r="I19" s="22"/>
      <c r="J19" s="22">
        <v>1</v>
      </c>
      <c r="K19" s="22" t="s">
        <v>191</v>
      </c>
      <c r="L19" s="22">
        <v>0</v>
      </c>
      <c r="M19" s="62" t="s">
        <v>192</v>
      </c>
      <c r="N19" s="22"/>
      <c r="O19" s="22">
        <v>0</v>
      </c>
      <c r="P19" s="22">
        <v>7</v>
      </c>
      <c r="Q19" s="22" t="s">
        <v>171</v>
      </c>
      <c r="R19" s="22" t="s">
        <v>145</v>
      </c>
      <c r="S19" s="22"/>
      <c r="T19" s="22">
        <v>-1</v>
      </c>
      <c r="U19" s="22"/>
      <c r="V19" s="22">
        <v>10</v>
      </c>
      <c r="W19" s="22"/>
      <c r="X19" s="22">
        <v>1500</v>
      </c>
      <c r="Y19" s="22"/>
      <c r="Z19" s="22">
        <v>10</v>
      </c>
      <c r="AA19" s="22">
        <v>70011</v>
      </c>
      <c r="AB19" s="22">
        <v>1</v>
      </c>
      <c r="AC19" s="22"/>
      <c r="AD19" s="22"/>
      <c r="AE19" s="22"/>
      <c r="AF19" s="22"/>
      <c r="AG19" s="22"/>
      <c r="AH19" s="22"/>
      <c r="AI19" s="22">
        <v>50010</v>
      </c>
      <c r="AJ19" s="22"/>
      <c r="AK19" s="22"/>
      <c r="AL19" s="22">
        <v>10</v>
      </c>
      <c r="AM19" s="22"/>
      <c r="AN19" s="16">
        <v>3</v>
      </c>
      <c r="AO19" s="15">
        <v>2</v>
      </c>
    </row>
    <row r="20" s="15" customFormat="1" ht="15" customHeight="1" spans="1:41">
      <c r="A20" s="15">
        <v>20105</v>
      </c>
      <c r="B20" s="24" t="s">
        <v>202</v>
      </c>
      <c r="C20" s="21" t="s">
        <v>203</v>
      </c>
      <c r="D20" s="22"/>
      <c r="E20" s="23"/>
      <c r="F20" s="22"/>
      <c r="G20" s="22">
        <v>0</v>
      </c>
      <c r="H20" s="22">
        <v>2</v>
      </c>
      <c r="I20" s="22"/>
      <c r="J20" s="22">
        <v>1</v>
      </c>
      <c r="K20" s="22" t="s">
        <v>191</v>
      </c>
      <c r="L20" s="22">
        <v>0</v>
      </c>
      <c r="M20" s="60" t="s">
        <v>204</v>
      </c>
      <c r="N20" s="22"/>
      <c r="O20" s="22">
        <v>2</v>
      </c>
      <c r="P20" s="22">
        <v>4</v>
      </c>
      <c r="Q20" s="22" t="s">
        <v>160</v>
      </c>
      <c r="R20" s="22"/>
      <c r="S20" s="22"/>
      <c r="T20" s="22">
        <v>-1</v>
      </c>
      <c r="U20" s="22"/>
      <c r="V20" s="22">
        <v>10</v>
      </c>
      <c r="W20" s="22"/>
      <c r="X20" s="22">
        <v>1000</v>
      </c>
      <c r="Y20" s="22"/>
      <c r="Z20" s="22">
        <v>10</v>
      </c>
      <c r="AA20" s="22">
        <v>70012</v>
      </c>
      <c r="AB20" s="22">
        <v>1</v>
      </c>
      <c r="AC20" s="22"/>
      <c r="AD20" s="22"/>
      <c r="AE20" s="22" t="s">
        <v>205</v>
      </c>
      <c r="AF20" s="22"/>
      <c r="AG20" s="22"/>
      <c r="AH20" s="22"/>
      <c r="AI20" s="22">
        <v>50003</v>
      </c>
      <c r="AJ20" s="22"/>
      <c r="AK20" s="22"/>
      <c r="AL20" s="22">
        <v>9</v>
      </c>
      <c r="AM20" s="22"/>
      <c r="AN20" s="16">
        <v>3</v>
      </c>
      <c r="AO20" s="56">
        <v>1009</v>
      </c>
    </row>
    <row r="21" s="17" customFormat="1" spans="1:41">
      <c r="A21" s="6">
        <v>70001</v>
      </c>
      <c r="B21" s="13" t="s">
        <v>37</v>
      </c>
      <c r="C21" s="28" t="s">
        <v>206</v>
      </c>
      <c r="D21" s="29"/>
      <c r="F21" s="29"/>
      <c r="G21" s="29">
        <v>1</v>
      </c>
      <c r="H21" s="29">
        <v>2</v>
      </c>
      <c r="I21" s="29"/>
      <c r="J21" s="29">
        <v>1</v>
      </c>
      <c r="K21" s="39" t="s">
        <v>207</v>
      </c>
      <c r="L21" s="29">
        <v>0</v>
      </c>
      <c r="M21" s="29"/>
      <c r="N21" s="29"/>
      <c r="O21" s="29">
        <v>0</v>
      </c>
      <c r="P21" s="29">
        <v>7</v>
      </c>
      <c r="Q21" s="29"/>
      <c r="R21" s="29"/>
      <c r="S21" s="29"/>
      <c r="T21" s="29">
        <v>-1</v>
      </c>
      <c r="U21" s="29"/>
      <c r="V21" s="29">
        <v>0</v>
      </c>
      <c r="W21" s="29"/>
      <c r="X21" s="29" t="s">
        <v>181</v>
      </c>
      <c r="Y21" s="29"/>
      <c r="Z21" s="29"/>
      <c r="AA21" s="29">
        <v>0</v>
      </c>
      <c r="AB21" s="29"/>
      <c r="AC21" s="29"/>
      <c r="AD21" s="29"/>
      <c r="AE21" s="29"/>
      <c r="AF21" s="29"/>
      <c r="AG21" s="29"/>
      <c r="AH21" s="29"/>
      <c r="AI21" s="29">
        <v>50010</v>
      </c>
      <c r="AJ21" s="29"/>
      <c r="AK21" s="29"/>
      <c r="AL21" s="29">
        <v>7</v>
      </c>
      <c r="AM21" s="29"/>
      <c r="AN21" s="17">
        <v>3</v>
      </c>
      <c r="AO21" s="17">
        <v>11</v>
      </c>
    </row>
    <row r="22" s="17" customFormat="1" spans="1:41">
      <c r="A22" s="6">
        <v>71001</v>
      </c>
      <c r="B22" s="13" t="s">
        <v>39</v>
      </c>
      <c r="C22" s="28" t="s">
        <v>206</v>
      </c>
      <c r="D22" s="29"/>
      <c r="F22" s="29"/>
      <c r="G22" s="29">
        <v>1</v>
      </c>
      <c r="H22" s="29">
        <v>2</v>
      </c>
      <c r="I22" s="29"/>
      <c r="J22" s="29">
        <v>1</v>
      </c>
      <c r="K22" s="39" t="s">
        <v>207</v>
      </c>
      <c r="L22" s="29">
        <v>0</v>
      </c>
      <c r="M22" s="29"/>
      <c r="N22" s="29"/>
      <c r="O22" s="29">
        <v>0</v>
      </c>
      <c r="P22" s="29">
        <v>7</v>
      </c>
      <c r="Q22" s="29"/>
      <c r="R22" s="29"/>
      <c r="S22" s="29"/>
      <c r="T22" s="29">
        <v>-1</v>
      </c>
      <c r="U22" s="29"/>
      <c r="V22" s="29">
        <v>0</v>
      </c>
      <c r="W22" s="29"/>
      <c r="X22" s="29" t="s">
        <v>181</v>
      </c>
      <c r="Y22" s="29"/>
      <c r="Z22" s="29"/>
      <c r="AA22" s="29">
        <v>0</v>
      </c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>
        <v>7</v>
      </c>
      <c r="AM22" s="29"/>
      <c r="AN22" s="17">
        <v>3</v>
      </c>
      <c r="AO22" s="17">
        <v>11</v>
      </c>
    </row>
    <row r="23" s="17" customFormat="1" spans="1:41">
      <c r="A23" s="6">
        <v>70002</v>
      </c>
      <c r="B23" s="13" t="s">
        <v>37</v>
      </c>
      <c r="C23" s="28" t="s">
        <v>208</v>
      </c>
      <c r="D23" s="29"/>
      <c r="F23" s="29"/>
      <c r="G23" s="29">
        <v>1</v>
      </c>
      <c r="H23" s="29">
        <v>2</v>
      </c>
      <c r="I23" s="29"/>
      <c r="J23" s="29">
        <v>1</v>
      </c>
      <c r="K23" s="39" t="s">
        <v>207</v>
      </c>
      <c r="L23" s="29">
        <v>0</v>
      </c>
      <c r="M23" s="29"/>
      <c r="N23" s="29"/>
      <c r="O23" s="29">
        <v>0</v>
      </c>
      <c r="P23" s="29">
        <v>7</v>
      </c>
      <c r="Q23" s="29"/>
      <c r="R23" s="29"/>
      <c r="S23" s="29"/>
      <c r="T23" s="29">
        <v>-1</v>
      </c>
      <c r="U23" s="29"/>
      <c r="V23" s="29">
        <v>0</v>
      </c>
      <c r="W23" s="29"/>
      <c r="X23" s="29" t="s">
        <v>181</v>
      </c>
      <c r="Y23" s="29"/>
      <c r="Z23" s="29"/>
      <c r="AA23" s="29">
        <v>0</v>
      </c>
      <c r="AB23" s="29"/>
      <c r="AC23" s="29"/>
      <c r="AD23" s="29"/>
      <c r="AE23" s="29"/>
      <c r="AF23" s="29"/>
      <c r="AG23" s="29"/>
      <c r="AH23" s="29"/>
      <c r="AI23" s="29">
        <v>50010</v>
      </c>
      <c r="AJ23" s="29"/>
      <c r="AK23" s="29"/>
      <c r="AL23" s="29">
        <v>7</v>
      </c>
      <c r="AM23" s="29"/>
      <c r="AN23" s="17">
        <v>3</v>
      </c>
      <c r="AO23" s="17">
        <v>11</v>
      </c>
    </row>
    <row r="24" s="17" customFormat="1" spans="1:41">
      <c r="A24" s="6">
        <v>70013</v>
      </c>
      <c r="B24" s="13" t="s">
        <v>42</v>
      </c>
      <c r="C24" s="28" t="s">
        <v>209</v>
      </c>
      <c r="D24" s="29"/>
      <c r="F24" s="29"/>
      <c r="G24" s="29">
        <v>1</v>
      </c>
      <c r="H24" s="29">
        <v>2</v>
      </c>
      <c r="I24" s="29"/>
      <c r="J24" s="29">
        <v>1</v>
      </c>
      <c r="K24" s="39" t="s">
        <v>210</v>
      </c>
      <c r="L24" s="29">
        <v>0</v>
      </c>
      <c r="M24" s="29"/>
      <c r="N24" s="29"/>
      <c r="O24" s="29">
        <v>0</v>
      </c>
      <c r="P24" s="29">
        <v>7</v>
      </c>
      <c r="Q24" s="29"/>
      <c r="R24" s="29"/>
      <c r="S24" s="29"/>
      <c r="T24" s="29">
        <v>-1</v>
      </c>
      <c r="U24" s="29"/>
      <c r="V24" s="29">
        <v>0</v>
      </c>
      <c r="W24" s="29"/>
      <c r="X24" s="29" t="s">
        <v>181</v>
      </c>
      <c r="Y24" s="29"/>
      <c r="Z24" s="29"/>
      <c r="AA24" s="29">
        <v>0</v>
      </c>
      <c r="AB24" s="29"/>
      <c r="AC24" s="29"/>
      <c r="AD24" s="29"/>
      <c r="AE24" s="29"/>
      <c r="AF24" s="29"/>
      <c r="AG24" s="29"/>
      <c r="AH24" s="29"/>
      <c r="AI24" s="29">
        <v>50010</v>
      </c>
      <c r="AJ24" s="29"/>
      <c r="AK24" s="29"/>
      <c r="AL24" s="29">
        <v>7</v>
      </c>
      <c r="AM24" s="29"/>
      <c r="AN24" s="17">
        <v>3</v>
      </c>
      <c r="AO24" s="17">
        <v>11</v>
      </c>
    </row>
    <row r="25" s="17" customFormat="1" spans="1:41">
      <c r="A25" s="6">
        <v>70023</v>
      </c>
      <c r="B25" s="13" t="s">
        <v>43</v>
      </c>
      <c r="C25" s="28" t="s">
        <v>209</v>
      </c>
      <c r="D25" s="29"/>
      <c r="F25" s="29"/>
      <c r="G25" s="29">
        <v>1</v>
      </c>
      <c r="H25" s="29">
        <v>2</v>
      </c>
      <c r="I25" s="29"/>
      <c r="J25" s="29">
        <v>1</v>
      </c>
      <c r="K25" s="39" t="s">
        <v>210</v>
      </c>
      <c r="L25" s="29">
        <v>0</v>
      </c>
      <c r="M25" s="29"/>
      <c r="N25" s="29"/>
      <c r="O25" s="29">
        <v>0</v>
      </c>
      <c r="P25" s="29">
        <v>7</v>
      </c>
      <c r="Q25" s="29"/>
      <c r="R25" s="29"/>
      <c r="S25" s="29"/>
      <c r="T25" s="29">
        <v>-1</v>
      </c>
      <c r="U25" s="29"/>
      <c r="V25" s="29">
        <v>0</v>
      </c>
      <c r="W25" s="29"/>
      <c r="X25" s="29" t="s">
        <v>181</v>
      </c>
      <c r="Y25" s="29"/>
      <c r="Z25" s="29"/>
      <c r="AA25" s="29">
        <v>0</v>
      </c>
      <c r="AB25" s="29"/>
      <c r="AC25" s="29"/>
      <c r="AD25" s="29"/>
      <c r="AE25" s="29"/>
      <c r="AF25" s="29"/>
      <c r="AG25" s="29"/>
      <c r="AH25" s="29"/>
      <c r="AI25" s="29">
        <v>50010</v>
      </c>
      <c r="AJ25" s="29"/>
      <c r="AK25" s="29"/>
      <c r="AL25" s="29">
        <v>7</v>
      </c>
      <c r="AM25" s="29"/>
      <c r="AN25" s="17">
        <v>3</v>
      </c>
      <c r="AO25" s="17">
        <v>11</v>
      </c>
    </row>
    <row r="26" s="17" customFormat="1" spans="1:41">
      <c r="A26" s="6">
        <v>70003</v>
      </c>
      <c r="B26" s="13" t="s">
        <v>41</v>
      </c>
      <c r="C26" s="28" t="s">
        <v>209</v>
      </c>
      <c r="D26" s="29"/>
      <c r="F26" s="29"/>
      <c r="G26" s="29">
        <v>1</v>
      </c>
      <c r="H26" s="29">
        <v>2</v>
      </c>
      <c r="I26" s="29"/>
      <c r="J26" s="29">
        <v>1</v>
      </c>
      <c r="K26" s="39" t="s">
        <v>210</v>
      </c>
      <c r="L26" s="29">
        <v>0</v>
      </c>
      <c r="M26" s="29"/>
      <c r="N26" s="29"/>
      <c r="O26" s="29">
        <v>0</v>
      </c>
      <c r="P26" s="29">
        <v>7</v>
      </c>
      <c r="Q26" s="29"/>
      <c r="R26" s="29"/>
      <c r="S26" s="29"/>
      <c r="T26" s="29">
        <v>-1</v>
      </c>
      <c r="U26" s="29"/>
      <c r="V26" s="29">
        <v>0</v>
      </c>
      <c r="W26" s="29"/>
      <c r="X26" s="29" t="s">
        <v>181</v>
      </c>
      <c r="Y26" s="29"/>
      <c r="Z26" s="29"/>
      <c r="AA26" s="29">
        <v>0</v>
      </c>
      <c r="AB26" s="29"/>
      <c r="AC26" s="29"/>
      <c r="AD26" s="29"/>
      <c r="AE26" s="29"/>
      <c r="AF26" s="29"/>
      <c r="AG26" s="29"/>
      <c r="AH26" s="29"/>
      <c r="AI26" s="29">
        <v>50010</v>
      </c>
      <c r="AJ26" s="29"/>
      <c r="AK26" s="29"/>
      <c r="AL26" s="29">
        <v>7</v>
      </c>
      <c r="AM26" s="29"/>
      <c r="AN26" s="17">
        <v>3</v>
      </c>
      <c r="AO26" s="17">
        <v>11</v>
      </c>
    </row>
    <row r="27" s="17" customFormat="1" spans="1:41">
      <c r="A27" s="17">
        <v>70004</v>
      </c>
      <c r="B27" s="17" t="s">
        <v>44</v>
      </c>
      <c r="C27" s="17" t="s">
        <v>211</v>
      </c>
      <c r="D27" s="17">
        <v>1</v>
      </c>
      <c r="G27" s="17">
        <v>0</v>
      </c>
      <c r="H27" s="17">
        <v>1</v>
      </c>
      <c r="J27" s="17">
        <v>2</v>
      </c>
      <c r="O27" s="6">
        <v>1</v>
      </c>
      <c r="T27" s="19" t="s">
        <v>212</v>
      </c>
      <c r="V27" s="19" t="s">
        <v>213</v>
      </c>
      <c r="X27" s="19" t="s">
        <v>181</v>
      </c>
      <c r="AA27" s="17">
        <v>0</v>
      </c>
      <c r="AI27" s="17">
        <v>111</v>
      </c>
      <c r="AL27" s="17">
        <v>7</v>
      </c>
      <c r="AN27" s="17">
        <v>1</v>
      </c>
      <c r="AO27" s="17">
        <v>4008</v>
      </c>
    </row>
    <row r="28" s="16" customFormat="1" spans="1:41">
      <c r="A28" s="16">
        <v>60001</v>
      </c>
      <c r="B28" s="16" t="s">
        <v>53</v>
      </c>
      <c r="C28" s="16" t="s">
        <v>214</v>
      </c>
      <c r="E28" s="16">
        <v>106004</v>
      </c>
      <c r="G28" s="16">
        <v>0</v>
      </c>
      <c r="H28" s="16">
        <v>2</v>
      </c>
      <c r="J28" s="16">
        <v>1</v>
      </c>
      <c r="L28" s="16">
        <v>1</v>
      </c>
      <c r="M28" s="22" t="s">
        <v>215</v>
      </c>
      <c r="N28" s="22" t="s">
        <v>170</v>
      </c>
      <c r="O28" s="15">
        <v>2</v>
      </c>
      <c r="P28" s="40" t="s">
        <v>216</v>
      </c>
      <c r="Q28" s="22" t="s">
        <v>160</v>
      </c>
      <c r="T28" s="40" t="s">
        <v>217</v>
      </c>
      <c r="V28" s="40" t="s">
        <v>216</v>
      </c>
      <c r="W28" s="40" t="s">
        <v>218</v>
      </c>
      <c r="X28" s="40" t="s">
        <v>219</v>
      </c>
      <c r="Y28" s="40" t="s">
        <v>220</v>
      </c>
      <c r="Z28" s="40" t="s">
        <v>221</v>
      </c>
      <c r="AA28" s="16">
        <v>60001</v>
      </c>
      <c r="AB28" s="16">
        <v>1</v>
      </c>
      <c r="AC28" s="16">
        <v>60011</v>
      </c>
      <c r="AD28" s="16">
        <v>1</v>
      </c>
      <c r="AF28" s="16">
        <v>80002</v>
      </c>
      <c r="AI28" s="16">
        <v>50003</v>
      </c>
      <c r="AL28" s="16">
        <v>15</v>
      </c>
      <c r="AN28" s="16">
        <v>2</v>
      </c>
      <c r="AO28" s="56">
        <v>1011</v>
      </c>
    </row>
    <row r="29" s="16" customFormat="1" spans="1:41">
      <c r="A29" s="16">
        <v>60002</v>
      </c>
      <c r="B29" s="16" t="s">
        <v>222</v>
      </c>
      <c r="C29" s="16" t="s">
        <v>223</v>
      </c>
      <c r="D29" s="16">
        <v>1</v>
      </c>
      <c r="E29" s="16">
        <v>106008</v>
      </c>
      <c r="G29" s="16">
        <v>0</v>
      </c>
      <c r="H29" s="16">
        <v>2</v>
      </c>
      <c r="J29" s="16">
        <v>1</v>
      </c>
      <c r="L29" s="16">
        <v>1</v>
      </c>
      <c r="M29" s="22" t="s">
        <v>215</v>
      </c>
      <c r="N29" s="22" t="s">
        <v>170</v>
      </c>
      <c r="O29" s="15">
        <v>2</v>
      </c>
      <c r="P29" s="40" t="s">
        <v>216</v>
      </c>
      <c r="Q29" s="22" t="s">
        <v>160</v>
      </c>
      <c r="T29" s="40" t="s">
        <v>217</v>
      </c>
      <c r="V29" s="40" t="s">
        <v>224</v>
      </c>
      <c r="W29" s="40" t="s">
        <v>218</v>
      </c>
      <c r="X29" s="40" t="s">
        <v>219</v>
      </c>
      <c r="Y29" s="40" t="s">
        <v>225</v>
      </c>
      <c r="Z29" s="40" t="s">
        <v>221</v>
      </c>
      <c r="AA29" s="16">
        <v>60002</v>
      </c>
      <c r="AB29" s="16">
        <v>1</v>
      </c>
      <c r="AC29" s="16">
        <v>60012</v>
      </c>
      <c r="AD29" s="16">
        <v>1</v>
      </c>
      <c r="AF29" s="16">
        <v>80002</v>
      </c>
      <c r="AI29" s="16">
        <v>50003</v>
      </c>
      <c r="AL29" s="16">
        <v>15</v>
      </c>
      <c r="AN29" s="16">
        <v>2</v>
      </c>
      <c r="AO29" s="56">
        <v>1011</v>
      </c>
    </row>
    <row r="30" s="16" customFormat="1" spans="1:41">
      <c r="A30" s="16">
        <v>60003</v>
      </c>
      <c r="B30" s="16" t="s">
        <v>226</v>
      </c>
      <c r="C30" s="16" t="s">
        <v>227</v>
      </c>
      <c r="D30" s="16">
        <v>1</v>
      </c>
      <c r="E30" s="16">
        <v>106002</v>
      </c>
      <c r="G30" s="16">
        <v>0</v>
      </c>
      <c r="H30" s="16">
        <v>1</v>
      </c>
      <c r="I30" s="16">
        <v>130</v>
      </c>
      <c r="J30" s="16">
        <v>1</v>
      </c>
      <c r="L30" s="16">
        <v>1</v>
      </c>
      <c r="M30" s="22" t="s">
        <v>215</v>
      </c>
      <c r="N30" s="22" t="s">
        <v>170</v>
      </c>
      <c r="O30" s="15">
        <v>2</v>
      </c>
      <c r="P30" s="40" t="s">
        <v>216</v>
      </c>
      <c r="Q30" s="22" t="s">
        <v>160</v>
      </c>
      <c r="S30" s="40" t="s">
        <v>228</v>
      </c>
      <c r="T30" s="40" t="s">
        <v>217</v>
      </c>
      <c r="V30" s="40" t="s">
        <v>218</v>
      </c>
      <c r="W30" s="40" t="s">
        <v>218</v>
      </c>
      <c r="X30" s="40" t="s">
        <v>229</v>
      </c>
      <c r="Y30" s="40" t="s">
        <v>225</v>
      </c>
      <c r="Z30" s="40" t="s">
        <v>221</v>
      </c>
      <c r="AA30" s="16">
        <v>60003</v>
      </c>
      <c r="AB30" s="16">
        <v>1</v>
      </c>
      <c r="AC30" s="16">
        <v>60013</v>
      </c>
      <c r="AD30" s="16">
        <v>1</v>
      </c>
      <c r="AF30" s="16">
        <v>80002</v>
      </c>
      <c r="AI30" s="16">
        <v>50003</v>
      </c>
      <c r="AL30" s="16">
        <v>16</v>
      </c>
      <c r="AN30" s="16">
        <v>1</v>
      </c>
      <c r="AO30" s="56">
        <v>1011</v>
      </c>
    </row>
    <row r="31" s="16" customFormat="1" spans="1:41">
      <c r="A31" s="16">
        <v>60004</v>
      </c>
      <c r="B31" s="16" t="s">
        <v>230</v>
      </c>
      <c r="C31" s="16" t="s">
        <v>231</v>
      </c>
      <c r="E31" s="16">
        <v>106006</v>
      </c>
      <c r="G31" s="16">
        <v>0</v>
      </c>
      <c r="H31" s="16">
        <v>2</v>
      </c>
      <c r="J31" s="16">
        <v>1</v>
      </c>
      <c r="L31" s="16">
        <v>1</v>
      </c>
      <c r="M31" s="22" t="s">
        <v>215</v>
      </c>
      <c r="N31" s="22" t="s">
        <v>170</v>
      </c>
      <c r="O31" s="15">
        <v>2</v>
      </c>
      <c r="P31" s="40" t="s">
        <v>216</v>
      </c>
      <c r="Q31" s="22" t="s">
        <v>171</v>
      </c>
      <c r="R31" s="16" t="s">
        <v>145</v>
      </c>
      <c r="T31" s="40" t="s">
        <v>232</v>
      </c>
      <c r="V31" s="40" t="s">
        <v>233</v>
      </c>
      <c r="W31" s="40" t="s">
        <v>234</v>
      </c>
      <c r="X31" s="40" t="s">
        <v>235</v>
      </c>
      <c r="Y31" s="40" t="s">
        <v>236</v>
      </c>
      <c r="Z31" s="40" t="s">
        <v>221</v>
      </c>
      <c r="AA31" s="16">
        <v>60004</v>
      </c>
      <c r="AB31" s="16">
        <v>1</v>
      </c>
      <c r="AC31" s="16">
        <v>60015</v>
      </c>
      <c r="AD31" s="16">
        <v>1</v>
      </c>
      <c r="AF31" s="16">
        <v>80002</v>
      </c>
      <c r="AI31" s="16">
        <v>50003</v>
      </c>
      <c r="AL31" s="16">
        <v>15</v>
      </c>
      <c r="AN31" s="16">
        <v>2</v>
      </c>
      <c r="AO31" s="56">
        <v>1011</v>
      </c>
    </row>
    <row r="32" s="17" customFormat="1" spans="1:41">
      <c r="A32" s="6">
        <v>99999</v>
      </c>
      <c r="B32" s="13" t="s">
        <v>49</v>
      </c>
      <c r="C32" s="28" t="s">
        <v>206</v>
      </c>
      <c r="D32" s="29"/>
      <c r="F32" s="29"/>
      <c r="G32" s="29">
        <v>1</v>
      </c>
      <c r="H32" s="29">
        <v>2</v>
      </c>
      <c r="I32" s="29"/>
      <c r="J32" s="29">
        <v>1</v>
      </c>
      <c r="K32" s="39" t="s">
        <v>191</v>
      </c>
      <c r="L32" s="29">
        <v>0</v>
      </c>
      <c r="M32" s="29"/>
      <c r="N32" s="29"/>
      <c r="O32" s="29">
        <v>0</v>
      </c>
      <c r="P32" s="29">
        <v>7</v>
      </c>
      <c r="Q32" s="29"/>
      <c r="R32" s="29"/>
      <c r="S32" s="29"/>
      <c r="T32" s="29">
        <v>-1</v>
      </c>
      <c r="U32" s="29"/>
      <c r="V32" s="29">
        <v>0</v>
      </c>
      <c r="W32" s="29"/>
      <c r="X32" s="29" t="s">
        <v>181</v>
      </c>
      <c r="Y32" s="29"/>
      <c r="Z32" s="29"/>
      <c r="AA32" s="29">
        <v>0</v>
      </c>
      <c r="AB32" s="29"/>
      <c r="AC32" s="29"/>
      <c r="AD32" s="29"/>
      <c r="AE32" s="29"/>
      <c r="AF32" s="29"/>
      <c r="AG32" s="29"/>
      <c r="AH32" s="29"/>
      <c r="AI32" s="29">
        <v>50010</v>
      </c>
      <c r="AJ32" s="29"/>
      <c r="AK32" s="29"/>
      <c r="AL32" s="29">
        <v>9</v>
      </c>
      <c r="AM32" s="29"/>
      <c r="AN32" s="17">
        <v>3</v>
      </c>
      <c r="AO32" s="17">
        <v>11</v>
      </c>
    </row>
    <row r="33" s="17" customFormat="1" spans="1:41">
      <c r="A33" s="6">
        <v>99998</v>
      </c>
      <c r="B33" s="13" t="s">
        <v>50</v>
      </c>
      <c r="C33" s="28" t="s">
        <v>206</v>
      </c>
      <c r="D33" s="29"/>
      <c r="F33" s="29"/>
      <c r="G33" s="29">
        <v>2</v>
      </c>
      <c r="H33" s="29">
        <v>2</v>
      </c>
      <c r="I33" s="29"/>
      <c r="J33" s="29">
        <v>1</v>
      </c>
      <c r="K33" s="39" t="s">
        <v>191</v>
      </c>
      <c r="L33" s="29">
        <v>0</v>
      </c>
      <c r="M33" s="29"/>
      <c r="N33" s="29"/>
      <c r="O33" s="29">
        <v>0</v>
      </c>
      <c r="P33" s="29">
        <v>7</v>
      </c>
      <c r="Q33" s="29"/>
      <c r="R33" s="29"/>
      <c r="S33" s="29"/>
      <c r="T33" s="29">
        <v>-1</v>
      </c>
      <c r="U33" s="29"/>
      <c r="V33" s="29">
        <v>0</v>
      </c>
      <c r="W33" s="29"/>
      <c r="X33" s="29" t="s">
        <v>181</v>
      </c>
      <c r="Y33" s="29"/>
      <c r="Z33" s="29"/>
      <c r="AA33" s="29">
        <v>0</v>
      </c>
      <c r="AB33" s="29"/>
      <c r="AC33" s="29"/>
      <c r="AD33" s="29"/>
      <c r="AE33" s="29"/>
      <c r="AF33" s="29"/>
      <c r="AG33" s="29"/>
      <c r="AH33" s="29"/>
      <c r="AI33" s="29">
        <v>50010</v>
      </c>
      <c r="AJ33" s="29"/>
      <c r="AK33" s="29"/>
      <c r="AL33" s="29">
        <v>1</v>
      </c>
      <c r="AM33" s="29"/>
      <c r="AN33" s="17">
        <v>3</v>
      </c>
      <c r="AO33" s="17">
        <v>11</v>
      </c>
    </row>
    <row r="34" s="16" customFormat="1" ht="15" customHeight="1" spans="1:41">
      <c r="A34" s="31">
        <v>61000</v>
      </c>
      <c r="B34" s="32" t="s">
        <v>52</v>
      </c>
      <c r="C34" s="36" t="s">
        <v>237</v>
      </c>
      <c r="D34" s="22"/>
      <c r="E34" s="23"/>
      <c r="F34" s="22"/>
      <c r="G34" s="22">
        <v>2</v>
      </c>
      <c r="H34" s="22">
        <v>2</v>
      </c>
      <c r="I34" s="22"/>
      <c r="J34" s="22">
        <v>1</v>
      </c>
      <c r="K34" s="22"/>
      <c r="L34" s="22">
        <v>3</v>
      </c>
      <c r="M34" s="60" t="s">
        <v>164</v>
      </c>
      <c r="N34" s="22" t="s">
        <v>165</v>
      </c>
      <c r="O34" s="22">
        <v>2</v>
      </c>
      <c r="P34" s="22">
        <v>2</v>
      </c>
      <c r="Q34" s="22" t="s">
        <v>160</v>
      </c>
      <c r="R34" s="22"/>
      <c r="S34" s="22"/>
      <c r="T34" s="22">
        <v>600</v>
      </c>
      <c r="U34" s="22"/>
      <c r="V34" s="22">
        <v>16</v>
      </c>
      <c r="W34" s="22"/>
      <c r="X34" s="22">
        <v>1000</v>
      </c>
      <c r="Y34" s="22"/>
      <c r="Z34" s="22">
        <v>30</v>
      </c>
      <c r="AA34" s="22">
        <v>71013</v>
      </c>
      <c r="AB34" s="22">
        <v>1</v>
      </c>
      <c r="AC34" s="22"/>
      <c r="AD34" s="22"/>
      <c r="AE34" s="22" t="s">
        <v>166</v>
      </c>
      <c r="AF34" s="22"/>
      <c r="AG34" s="22"/>
      <c r="AH34" s="22"/>
      <c r="AI34" s="22">
        <v>50005</v>
      </c>
      <c r="AJ34" s="22"/>
      <c r="AK34" s="22"/>
      <c r="AL34" s="22">
        <v>5</v>
      </c>
      <c r="AM34" s="22"/>
      <c r="AN34" s="16">
        <v>0</v>
      </c>
      <c r="AO34" s="56">
        <v>4003</v>
      </c>
    </row>
    <row r="35" s="16" customFormat="1" spans="1:41">
      <c r="A35" s="16">
        <v>60005</v>
      </c>
      <c r="B35" s="16" t="s">
        <v>53</v>
      </c>
      <c r="C35" s="16" t="s">
        <v>214</v>
      </c>
      <c r="E35" s="16">
        <v>106003</v>
      </c>
      <c r="G35" s="16">
        <v>0</v>
      </c>
      <c r="H35" s="16">
        <v>2</v>
      </c>
      <c r="J35" s="16">
        <v>2</v>
      </c>
      <c r="L35" s="16">
        <v>1</v>
      </c>
      <c r="M35" s="22" t="s">
        <v>215</v>
      </c>
      <c r="N35" s="22" t="s">
        <v>170</v>
      </c>
      <c r="O35" s="15">
        <v>2</v>
      </c>
      <c r="P35" s="40" t="s">
        <v>216</v>
      </c>
      <c r="Q35" s="22" t="s">
        <v>160</v>
      </c>
      <c r="T35" s="40" t="s">
        <v>238</v>
      </c>
      <c r="V35" s="40" t="s">
        <v>218</v>
      </c>
      <c r="W35" s="40" t="s">
        <v>218</v>
      </c>
      <c r="X35" s="40" t="s">
        <v>219</v>
      </c>
      <c r="Y35" s="40" t="s">
        <v>220</v>
      </c>
      <c r="Z35" s="40" t="s">
        <v>221</v>
      </c>
      <c r="AA35" s="16">
        <v>60001</v>
      </c>
      <c r="AB35" s="16">
        <v>1</v>
      </c>
      <c r="AC35" s="16">
        <v>60011</v>
      </c>
      <c r="AD35" s="16">
        <v>1</v>
      </c>
      <c r="AF35" s="22">
        <v>80001</v>
      </c>
      <c r="AI35" s="16">
        <v>50003</v>
      </c>
      <c r="AL35" s="16">
        <v>15</v>
      </c>
      <c r="AN35" s="16">
        <v>2</v>
      </c>
      <c r="AO35" s="56">
        <v>1011</v>
      </c>
    </row>
    <row r="36" s="16" customFormat="1" spans="1:41">
      <c r="A36" s="16">
        <v>60006</v>
      </c>
      <c r="B36" s="16" t="s">
        <v>222</v>
      </c>
      <c r="C36" s="16" t="s">
        <v>223</v>
      </c>
      <c r="D36" s="16">
        <v>1</v>
      </c>
      <c r="E36" s="16">
        <v>106007</v>
      </c>
      <c r="G36" s="16">
        <v>0</v>
      </c>
      <c r="H36" s="16">
        <v>2</v>
      </c>
      <c r="J36" s="16">
        <v>2</v>
      </c>
      <c r="L36" s="16">
        <v>1</v>
      </c>
      <c r="M36" s="22" t="s">
        <v>215</v>
      </c>
      <c r="N36" s="22" t="s">
        <v>170</v>
      </c>
      <c r="O36" s="15">
        <v>2</v>
      </c>
      <c r="P36" s="40" t="s">
        <v>216</v>
      </c>
      <c r="Q36" s="22" t="s">
        <v>160</v>
      </c>
      <c r="T36" s="40" t="s">
        <v>238</v>
      </c>
      <c r="V36" s="40" t="s">
        <v>224</v>
      </c>
      <c r="W36" s="40" t="s">
        <v>218</v>
      </c>
      <c r="X36" s="40" t="s">
        <v>219</v>
      </c>
      <c r="Y36" s="40" t="s">
        <v>225</v>
      </c>
      <c r="Z36" s="40" t="s">
        <v>221</v>
      </c>
      <c r="AA36" s="16">
        <v>60002</v>
      </c>
      <c r="AB36" s="16">
        <v>1</v>
      </c>
      <c r="AC36" s="16">
        <v>60012</v>
      </c>
      <c r="AD36" s="16">
        <v>1</v>
      </c>
      <c r="AF36" s="22">
        <v>80001</v>
      </c>
      <c r="AI36" s="16">
        <v>50003</v>
      </c>
      <c r="AL36" s="16">
        <v>15</v>
      </c>
      <c r="AN36" s="16">
        <v>2</v>
      </c>
      <c r="AO36" s="56">
        <v>1011</v>
      </c>
    </row>
    <row r="37" s="16" customFormat="1" spans="1:41">
      <c r="A37" s="16">
        <v>60007</v>
      </c>
      <c r="B37" s="16" t="s">
        <v>226</v>
      </c>
      <c r="C37" s="16" t="s">
        <v>227</v>
      </c>
      <c r="D37" s="16">
        <v>1</v>
      </c>
      <c r="E37" s="16">
        <v>106001</v>
      </c>
      <c r="G37" s="16">
        <v>0</v>
      </c>
      <c r="H37" s="16">
        <v>1</v>
      </c>
      <c r="I37" s="16">
        <v>130</v>
      </c>
      <c r="J37" s="16">
        <v>2</v>
      </c>
      <c r="L37" s="16">
        <v>1</v>
      </c>
      <c r="M37" s="22" t="s">
        <v>215</v>
      </c>
      <c r="N37" s="22" t="s">
        <v>170</v>
      </c>
      <c r="O37" s="15">
        <v>2</v>
      </c>
      <c r="P37" s="40" t="s">
        <v>216</v>
      </c>
      <c r="Q37" s="22" t="s">
        <v>160</v>
      </c>
      <c r="S37" s="40" t="s">
        <v>228</v>
      </c>
      <c r="T37" s="40" t="s">
        <v>238</v>
      </c>
      <c r="V37" s="40" t="s">
        <v>216</v>
      </c>
      <c r="W37" s="40" t="s">
        <v>218</v>
      </c>
      <c r="X37" s="40" t="s">
        <v>229</v>
      </c>
      <c r="Y37" s="40" t="s">
        <v>225</v>
      </c>
      <c r="Z37" s="40" t="s">
        <v>221</v>
      </c>
      <c r="AA37" s="16">
        <v>60003</v>
      </c>
      <c r="AB37" s="16">
        <v>1</v>
      </c>
      <c r="AC37" s="16">
        <v>60013</v>
      </c>
      <c r="AD37" s="16">
        <v>1</v>
      </c>
      <c r="AF37" s="22">
        <v>80001</v>
      </c>
      <c r="AI37" s="16">
        <v>50003</v>
      </c>
      <c r="AL37" s="16">
        <v>16</v>
      </c>
      <c r="AN37" s="16">
        <v>1</v>
      </c>
      <c r="AO37" s="56">
        <v>1011</v>
      </c>
    </row>
    <row r="38" s="16" customFormat="1" spans="1:41">
      <c r="A38" s="16">
        <v>60008</v>
      </c>
      <c r="B38" s="16" t="s">
        <v>230</v>
      </c>
      <c r="C38" s="16" t="s">
        <v>231</v>
      </c>
      <c r="E38" s="16">
        <v>106005</v>
      </c>
      <c r="G38" s="16">
        <v>0</v>
      </c>
      <c r="H38" s="16">
        <v>2</v>
      </c>
      <c r="J38" s="16">
        <v>2</v>
      </c>
      <c r="L38" s="16">
        <v>1</v>
      </c>
      <c r="M38" s="22" t="s">
        <v>215</v>
      </c>
      <c r="N38" s="22" t="s">
        <v>170</v>
      </c>
      <c r="O38" s="15">
        <v>2</v>
      </c>
      <c r="P38" s="40" t="s">
        <v>216</v>
      </c>
      <c r="Q38" s="22" t="s">
        <v>171</v>
      </c>
      <c r="R38" s="16" t="s">
        <v>145</v>
      </c>
      <c r="T38" s="40" t="s">
        <v>238</v>
      </c>
      <c r="V38" s="40" t="s">
        <v>233</v>
      </c>
      <c r="W38" s="40" t="s">
        <v>234</v>
      </c>
      <c r="X38" s="40" t="s">
        <v>235</v>
      </c>
      <c r="Y38" s="40" t="s">
        <v>236</v>
      </c>
      <c r="Z38" s="40" t="s">
        <v>221</v>
      </c>
      <c r="AA38" s="16">
        <v>60004</v>
      </c>
      <c r="AB38" s="16">
        <v>1</v>
      </c>
      <c r="AC38" s="16">
        <v>60015</v>
      </c>
      <c r="AD38" s="16">
        <v>1</v>
      </c>
      <c r="AF38" s="22">
        <v>80001</v>
      </c>
      <c r="AI38" s="16">
        <v>50003</v>
      </c>
      <c r="AL38" s="16">
        <v>15</v>
      </c>
      <c r="AN38" s="16">
        <v>2</v>
      </c>
      <c r="AO38" s="56">
        <v>1011</v>
      </c>
    </row>
    <row r="39" s="15" customFormat="1" spans="1:41">
      <c r="A39" s="15">
        <v>50001</v>
      </c>
      <c r="B39" s="20" t="s">
        <v>141</v>
      </c>
      <c r="C39" s="21" t="s">
        <v>142</v>
      </c>
      <c r="D39" s="22"/>
      <c r="E39" s="23"/>
      <c r="F39" s="22"/>
      <c r="G39" s="22">
        <v>0</v>
      </c>
      <c r="H39" s="22">
        <v>2</v>
      </c>
      <c r="I39" s="22"/>
      <c r="J39" s="22">
        <v>1</v>
      </c>
      <c r="K39" s="22"/>
      <c r="L39" s="22">
        <v>1</v>
      </c>
      <c r="M39" s="22" t="s">
        <v>143</v>
      </c>
      <c r="N39" s="22"/>
      <c r="O39" s="22">
        <v>0</v>
      </c>
      <c r="P39" s="22">
        <v>6</v>
      </c>
      <c r="Q39" s="22" t="s">
        <v>144</v>
      </c>
      <c r="R39" s="22" t="s">
        <v>145</v>
      </c>
      <c r="S39" s="22"/>
      <c r="T39" s="22">
        <v>600</v>
      </c>
      <c r="U39" s="22"/>
      <c r="V39" s="22">
        <v>2</v>
      </c>
      <c r="W39" s="22"/>
      <c r="X39" s="22">
        <v>2000</v>
      </c>
      <c r="Y39" s="22"/>
      <c r="Z39" s="22">
        <v>30</v>
      </c>
      <c r="AA39" s="22">
        <v>70001</v>
      </c>
      <c r="AB39" s="22">
        <v>1</v>
      </c>
      <c r="AC39" s="22"/>
      <c r="AD39" s="22"/>
      <c r="AE39" s="22" t="s">
        <v>146</v>
      </c>
      <c r="AF39" s="16"/>
      <c r="AG39" s="22"/>
      <c r="AH39" s="22"/>
      <c r="AI39" s="22">
        <v>50003</v>
      </c>
      <c r="AJ39" s="22"/>
      <c r="AK39" s="22"/>
      <c r="AL39" s="22">
        <v>1</v>
      </c>
      <c r="AM39" s="22"/>
      <c r="AN39" s="16">
        <v>0</v>
      </c>
      <c r="AO39" s="56">
        <v>1010</v>
      </c>
    </row>
    <row r="40" s="15" customFormat="1" spans="1:41">
      <c r="A40" s="15">
        <v>50002</v>
      </c>
      <c r="B40" s="24" t="s">
        <v>152</v>
      </c>
      <c r="C40" s="21" t="s">
        <v>153</v>
      </c>
      <c r="D40" s="22"/>
      <c r="E40" s="23"/>
      <c r="F40" s="22"/>
      <c r="G40" s="22">
        <v>0</v>
      </c>
      <c r="H40" s="22">
        <v>2</v>
      </c>
      <c r="I40" s="22"/>
      <c r="J40" s="22">
        <v>1</v>
      </c>
      <c r="K40" s="22"/>
      <c r="L40" s="22">
        <v>3</v>
      </c>
      <c r="M40" s="60" t="s">
        <v>154</v>
      </c>
      <c r="N40" s="22"/>
      <c r="O40" s="22">
        <v>0</v>
      </c>
      <c r="P40" s="22">
        <v>4</v>
      </c>
      <c r="Q40" s="22" t="s">
        <v>155</v>
      </c>
      <c r="R40" s="22"/>
      <c r="S40" s="22"/>
      <c r="T40" s="22">
        <v>1200</v>
      </c>
      <c r="U40" s="22"/>
      <c r="V40" s="22">
        <v>18</v>
      </c>
      <c r="W40" s="22"/>
      <c r="X40" s="22">
        <v>6000</v>
      </c>
      <c r="Y40" s="22"/>
      <c r="Z40" s="22">
        <v>30</v>
      </c>
      <c r="AA40" s="22">
        <v>71003</v>
      </c>
      <c r="AB40" s="22">
        <v>1</v>
      </c>
      <c r="AC40" s="22"/>
      <c r="AD40" s="22"/>
      <c r="AE40" s="22" t="s">
        <v>156</v>
      </c>
      <c r="AF40" s="16"/>
      <c r="AG40" s="22"/>
      <c r="AH40" s="22"/>
      <c r="AI40" s="22">
        <v>50003</v>
      </c>
      <c r="AJ40" s="22"/>
      <c r="AK40" s="22"/>
      <c r="AL40" s="22">
        <v>6</v>
      </c>
      <c r="AM40" s="22"/>
      <c r="AN40" s="16">
        <v>0</v>
      </c>
      <c r="AO40" s="56">
        <v>2006</v>
      </c>
    </row>
    <row r="41" s="16" customFormat="1" ht="14.25" spans="1:41">
      <c r="A41" s="15">
        <v>50003</v>
      </c>
      <c r="B41" s="25" t="s">
        <v>157</v>
      </c>
      <c r="C41" s="24" t="s">
        <v>158</v>
      </c>
      <c r="D41" s="22"/>
      <c r="E41" s="23"/>
      <c r="F41" s="22"/>
      <c r="G41" s="22">
        <v>2</v>
      </c>
      <c r="H41" s="22">
        <v>2</v>
      </c>
      <c r="I41" s="22"/>
      <c r="J41" s="22">
        <v>1</v>
      </c>
      <c r="K41" s="22"/>
      <c r="L41" s="22">
        <v>4</v>
      </c>
      <c r="M41" s="60" t="s">
        <v>159</v>
      </c>
      <c r="N41" s="22"/>
      <c r="O41" s="22">
        <v>2</v>
      </c>
      <c r="P41" s="22">
        <v>6</v>
      </c>
      <c r="Q41" s="22" t="s">
        <v>160</v>
      </c>
      <c r="R41" s="22"/>
      <c r="S41" s="22"/>
      <c r="T41" s="22">
        <v>1400</v>
      </c>
      <c r="U41" s="22"/>
      <c r="V41" s="22">
        <v>13</v>
      </c>
      <c r="W41" s="22"/>
      <c r="X41" s="22">
        <v>1000</v>
      </c>
      <c r="Y41" s="22"/>
      <c r="Z41" s="22">
        <v>30</v>
      </c>
      <c r="AA41" s="22">
        <v>70004</v>
      </c>
      <c r="AB41" s="22">
        <v>1</v>
      </c>
      <c r="AC41" s="22"/>
      <c r="AD41" s="22"/>
      <c r="AE41" s="22" t="s">
        <v>161</v>
      </c>
      <c r="AG41" s="22"/>
      <c r="AH41" s="22"/>
      <c r="AI41" s="51">
        <v>50003</v>
      </c>
      <c r="AJ41" s="22"/>
      <c r="AK41" s="22"/>
      <c r="AL41" s="22">
        <v>4</v>
      </c>
      <c r="AM41" s="22"/>
      <c r="AN41" s="16">
        <v>0</v>
      </c>
      <c r="AO41" s="56">
        <v>4004</v>
      </c>
    </row>
    <row r="42" s="15" customFormat="1" ht="15" customHeight="1" spans="1:41">
      <c r="A42" s="15">
        <v>50004</v>
      </c>
      <c r="B42" s="32" t="s">
        <v>167</v>
      </c>
      <c r="C42" s="15" t="s">
        <v>168</v>
      </c>
      <c r="D42" s="22"/>
      <c r="E42" s="23"/>
      <c r="F42" s="22"/>
      <c r="G42" s="22">
        <v>0</v>
      </c>
      <c r="H42" s="22">
        <v>2</v>
      </c>
      <c r="I42" s="22"/>
      <c r="J42" s="22">
        <v>1</v>
      </c>
      <c r="K42" s="22"/>
      <c r="L42" s="22">
        <v>1</v>
      </c>
      <c r="M42" s="22" t="s">
        <v>169</v>
      </c>
      <c r="N42" s="22" t="s">
        <v>170</v>
      </c>
      <c r="O42" s="22">
        <v>0</v>
      </c>
      <c r="P42" s="22">
        <v>4</v>
      </c>
      <c r="Q42" s="22" t="s">
        <v>171</v>
      </c>
      <c r="R42" s="22" t="s">
        <v>145</v>
      </c>
      <c r="S42" s="22"/>
      <c r="T42" s="22">
        <v>800</v>
      </c>
      <c r="U42" s="22"/>
      <c r="V42" s="22">
        <v>3</v>
      </c>
      <c r="W42" s="22"/>
      <c r="X42" s="22">
        <v>1200</v>
      </c>
      <c r="Y42" s="22"/>
      <c r="Z42" s="22">
        <v>30</v>
      </c>
      <c r="AA42" s="22">
        <v>70006</v>
      </c>
      <c r="AB42" s="22">
        <v>1</v>
      </c>
      <c r="AC42" s="22"/>
      <c r="AD42" s="22"/>
      <c r="AE42" s="22" t="s">
        <v>172</v>
      </c>
      <c r="AF42" s="16"/>
      <c r="AG42" s="22"/>
      <c r="AH42" s="22"/>
      <c r="AI42" s="22">
        <v>50003</v>
      </c>
      <c r="AJ42" s="22"/>
      <c r="AK42" s="22"/>
      <c r="AL42" s="22">
        <v>2</v>
      </c>
      <c r="AM42" s="22"/>
      <c r="AN42" s="16">
        <v>0</v>
      </c>
      <c r="AO42" s="15">
        <v>2002</v>
      </c>
    </row>
    <row r="43" s="16" customFormat="1" spans="1:43">
      <c r="A43" s="15">
        <v>50005</v>
      </c>
      <c r="B43" s="33" t="s">
        <v>173</v>
      </c>
      <c r="C43" s="34" t="s">
        <v>174</v>
      </c>
      <c r="D43" s="35"/>
      <c r="E43" s="23"/>
      <c r="F43" s="35"/>
      <c r="G43" s="35">
        <v>0</v>
      </c>
      <c r="H43" s="35">
        <v>1</v>
      </c>
      <c r="I43" s="35">
        <v>130</v>
      </c>
      <c r="J43" s="35">
        <v>1</v>
      </c>
      <c r="K43" s="35"/>
      <c r="L43" s="35">
        <v>2</v>
      </c>
      <c r="M43" s="62" t="s">
        <v>175</v>
      </c>
      <c r="N43" s="35"/>
      <c r="O43" s="35">
        <v>2</v>
      </c>
      <c r="P43" s="35">
        <v>4</v>
      </c>
      <c r="Q43" s="22" t="s">
        <v>160</v>
      </c>
      <c r="R43" s="35"/>
      <c r="S43" s="35"/>
      <c r="T43" s="35">
        <v>1000</v>
      </c>
      <c r="U43" s="35"/>
      <c r="V43" s="35">
        <v>6</v>
      </c>
      <c r="W43" s="35"/>
      <c r="X43" s="35">
        <v>1500</v>
      </c>
      <c r="Y43" s="35"/>
      <c r="Z43" s="35">
        <v>30</v>
      </c>
      <c r="AA43" s="35">
        <v>70007</v>
      </c>
      <c r="AB43" s="35">
        <v>1</v>
      </c>
      <c r="AC43" s="35"/>
      <c r="AD43" s="35"/>
      <c r="AE43" s="35" t="s">
        <v>176</v>
      </c>
      <c r="AG43" s="35"/>
      <c r="AH43" s="35"/>
      <c r="AI43" s="63" t="s">
        <v>177</v>
      </c>
      <c r="AJ43" s="35"/>
      <c r="AK43" s="52"/>
      <c r="AL43" s="35">
        <v>3</v>
      </c>
      <c r="AM43" s="35"/>
      <c r="AN43" s="53">
        <v>1</v>
      </c>
      <c r="AO43" s="53">
        <v>3003</v>
      </c>
      <c r="AP43" s="53"/>
      <c r="AQ43" s="53"/>
    </row>
    <row r="44" s="16" customFormat="1" ht="15" customHeight="1" spans="1:41">
      <c r="A44" s="15">
        <v>50006</v>
      </c>
      <c r="B44" s="32" t="s">
        <v>52</v>
      </c>
      <c r="C44" s="36" t="s">
        <v>237</v>
      </c>
      <c r="D44" s="22"/>
      <c r="E44" s="23"/>
      <c r="F44" s="22"/>
      <c r="G44" s="22">
        <v>2</v>
      </c>
      <c r="H44" s="22">
        <v>2</v>
      </c>
      <c r="I44" s="22"/>
      <c r="J44" s="22">
        <v>1</v>
      </c>
      <c r="K44" s="22"/>
      <c r="L44" s="22">
        <v>3</v>
      </c>
      <c r="M44" s="60" t="s">
        <v>164</v>
      </c>
      <c r="N44" s="22" t="s">
        <v>165</v>
      </c>
      <c r="O44" s="22">
        <v>2</v>
      </c>
      <c r="P44" s="22">
        <v>2</v>
      </c>
      <c r="Q44" s="22" t="s">
        <v>160</v>
      </c>
      <c r="R44" s="22"/>
      <c r="S44" s="22"/>
      <c r="T44" s="22">
        <v>600</v>
      </c>
      <c r="U44" s="22"/>
      <c r="V44" s="22">
        <v>16</v>
      </c>
      <c r="W44" s="22"/>
      <c r="X44" s="22">
        <v>1000</v>
      </c>
      <c r="Y44" s="22"/>
      <c r="Z44" s="22">
        <v>30</v>
      </c>
      <c r="AA44" s="22">
        <v>70013</v>
      </c>
      <c r="AB44" s="22">
        <v>1</v>
      </c>
      <c r="AC44" s="22"/>
      <c r="AD44" s="22"/>
      <c r="AE44" s="22" t="s">
        <v>166</v>
      </c>
      <c r="AG44" s="22"/>
      <c r="AH44" s="22"/>
      <c r="AI44" s="22">
        <v>50005</v>
      </c>
      <c r="AJ44" s="22"/>
      <c r="AK44" s="22"/>
      <c r="AL44" s="22">
        <v>5</v>
      </c>
      <c r="AM44" s="22"/>
      <c r="AN44" s="16">
        <v>0</v>
      </c>
      <c r="AO44" s="56">
        <v>4003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145"/>
  <sheetViews>
    <sheetView workbookViewId="0">
      <pane ySplit="1" topLeftCell="A21" activePane="bottomLeft" state="frozen"/>
      <selection/>
      <selection pane="bottomLeft" activeCell="D85" sqref="D36:D85"/>
    </sheetView>
  </sheetViews>
  <sheetFormatPr defaultColWidth="9" defaultRowHeight="13.5"/>
  <sheetData>
    <row r="1" spans="1:10">
      <c r="A1" t="s">
        <v>239</v>
      </c>
      <c r="B1" t="s">
        <v>240</v>
      </c>
      <c r="C1" t="s">
        <v>241</v>
      </c>
      <c r="D1" t="s">
        <v>242</v>
      </c>
      <c r="H1" t="s">
        <v>239</v>
      </c>
      <c r="I1" t="s">
        <v>241</v>
      </c>
      <c r="J1" t="s">
        <v>243</v>
      </c>
    </row>
    <row r="2" spans="1:10">
      <c r="A2">
        <v>1</v>
      </c>
      <c r="B2">
        <v>1</v>
      </c>
      <c r="C2">
        <v>1</v>
      </c>
      <c r="H2">
        <v>1</v>
      </c>
      <c r="I2">
        <v>1</v>
      </c>
      <c r="J2">
        <v>1</v>
      </c>
    </row>
    <row r="3" spans="1:10">
      <c r="A3">
        <f>A2</f>
        <v>1</v>
      </c>
      <c r="B3">
        <v>2</v>
      </c>
      <c r="C3">
        <v>1</v>
      </c>
      <c r="H3">
        <v>2</v>
      </c>
      <c r="I3">
        <v>10</v>
      </c>
      <c r="J3">
        <v>5</v>
      </c>
    </row>
    <row r="4" spans="1:10">
      <c r="A4">
        <f t="shared" ref="A4" si="0">A3</f>
        <v>1</v>
      </c>
      <c r="B4">
        <v>3</v>
      </c>
      <c r="C4">
        <v>1</v>
      </c>
      <c r="H4">
        <v>3</v>
      </c>
      <c r="I4">
        <v>20</v>
      </c>
      <c r="J4">
        <v>10</v>
      </c>
    </row>
    <row r="5" spans="1:10">
      <c r="A5">
        <f t="shared" ref="A5" si="1">A4</f>
        <v>1</v>
      </c>
      <c r="B5">
        <v>4</v>
      </c>
      <c r="C5">
        <v>2</v>
      </c>
      <c r="H5">
        <v>4</v>
      </c>
      <c r="I5">
        <v>30</v>
      </c>
      <c r="J5">
        <v>15</v>
      </c>
    </row>
    <row r="6" spans="1:10">
      <c r="A6">
        <f t="shared" ref="A6:A13" si="2">A5</f>
        <v>1</v>
      </c>
      <c r="B6">
        <v>5</v>
      </c>
      <c r="C6">
        <v>2</v>
      </c>
      <c r="H6">
        <v>5</v>
      </c>
      <c r="I6">
        <v>40</v>
      </c>
      <c r="J6">
        <v>20</v>
      </c>
    </row>
    <row r="7" spans="1:10">
      <c r="A7">
        <f t="shared" si="2"/>
        <v>1</v>
      </c>
      <c r="B7">
        <v>6</v>
      </c>
      <c r="C7" s="14">
        <v>3</v>
      </c>
      <c r="H7">
        <v>6</v>
      </c>
      <c r="I7">
        <v>50</v>
      </c>
      <c r="J7">
        <v>25</v>
      </c>
    </row>
    <row r="8" spans="1:10">
      <c r="A8">
        <f t="shared" si="2"/>
        <v>1</v>
      </c>
      <c r="B8">
        <v>7</v>
      </c>
      <c r="C8">
        <v>3</v>
      </c>
      <c r="H8">
        <v>7</v>
      </c>
      <c r="I8">
        <v>60</v>
      </c>
      <c r="J8">
        <v>30</v>
      </c>
    </row>
    <row r="9" spans="1:10">
      <c r="A9">
        <f t="shared" si="2"/>
        <v>1</v>
      </c>
      <c r="B9">
        <v>8</v>
      </c>
      <c r="C9">
        <v>4</v>
      </c>
      <c r="H9">
        <v>8</v>
      </c>
      <c r="I9">
        <v>70</v>
      </c>
      <c r="J9">
        <v>35</v>
      </c>
    </row>
    <row r="10" spans="1:10">
      <c r="A10">
        <f t="shared" si="2"/>
        <v>1</v>
      </c>
      <c r="B10">
        <v>9</v>
      </c>
      <c r="C10">
        <v>3</v>
      </c>
      <c r="H10">
        <v>9</v>
      </c>
      <c r="I10">
        <v>80</v>
      </c>
      <c r="J10">
        <v>40</v>
      </c>
    </row>
    <row r="11" spans="1:10">
      <c r="A11">
        <f t="shared" si="2"/>
        <v>1</v>
      </c>
      <c r="B11">
        <v>10</v>
      </c>
      <c r="C11">
        <v>3</v>
      </c>
      <c r="H11">
        <v>10</v>
      </c>
      <c r="I11">
        <v>90</v>
      </c>
      <c r="J11">
        <v>45</v>
      </c>
    </row>
    <row r="12" spans="1:10">
      <c r="A12">
        <f t="shared" si="2"/>
        <v>1</v>
      </c>
      <c r="B12">
        <v>11</v>
      </c>
      <c r="C12">
        <v>4</v>
      </c>
      <c r="H12">
        <v>11</v>
      </c>
      <c r="I12">
        <v>100</v>
      </c>
      <c r="J12">
        <v>50</v>
      </c>
    </row>
    <row r="13" spans="1:10">
      <c r="A13">
        <f t="shared" si="2"/>
        <v>1</v>
      </c>
      <c r="B13">
        <v>12</v>
      </c>
      <c r="C13">
        <v>6</v>
      </c>
      <c r="H13">
        <v>12</v>
      </c>
      <c r="I13">
        <v>110</v>
      </c>
      <c r="J13">
        <v>55</v>
      </c>
    </row>
    <row r="14" spans="1:10">
      <c r="A14">
        <f>A2+1</f>
        <v>2</v>
      </c>
      <c r="B14">
        <f>B2</f>
        <v>1</v>
      </c>
      <c r="C14">
        <v>2</v>
      </c>
      <c r="H14">
        <v>13</v>
      </c>
      <c r="I14">
        <v>120</v>
      </c>
      <c r="J14">
        <v>60</v>
      </c>
    </row>
    <row r="15" spans="1:10">
      <c r="A15">
        <f t="shared" ref="A15:A39" si="3">A3+1</f>
        <v>2</v>
      </c>
      <c r="B15">
        <f t="shared" ref="B15:B39" si="4">B3</f>
        <v>2</v>
      </c>
      <c r="C15">
        <v>2</v>
      </c>
      <c r="H15">
        <v>14</v>
      </c>
      <c r="I15">
        <v>130</v>
      </c>
      <c r="J15">
        <v>65</v>
      </c>
    </row>
    <row r="16" spans="1:10">
      <c r="A16">
        <f t="shared" si="3"/>
        <v>2</v>
      </c>
      <c r="B16">
        <f t="shared" si="4"/>
        <v>3</v>
      </c>
      <c r="C16">
        <v>3</v>
      </c>
      <c r="H16">
        <v>15</v>
      </c>
      <c r="I16">
        <v>140</v>
      </c>
      <c r="J16">
        <v>70</v>
      </c>
    </row>
    <row r="17" spans="1:10">
      <c r="A17">
        <f t="shared" si="3"/>
        <v>2</v>
      </c>
      <c r="B17">
        <f t="shared" si="4"/>
        <v>4</v>
      </c>
      <c r="C17">
        <v>3</v>
      </c>
      <c r="H17">
        <v>16</v>
      </c>
      <c r="I17">
        <v>150</v>
      </c>
      <c r="J17">
        <v>75</v>
      </c>
    </row>
    <row r="18" spans="1:3">
      <c r="A18">
        <f t="shared" si="3"/>
        <v>2</v>
      </c>
      <c r="B18">
        <f t="shared" si="4"/>
        <v>5</v>
      </c>
      <c r="C18">
        <v>4</v>
      </c>
    </row>
    <row r="19" spans="1:3">
      <c r="A19">
        <f t="shared" si="3"/>
        <v>2</v>
      </c>
      <c r="B19">
        <f t="shared" si="4"/>
        <v>6</v>
      </c>
      <c r="C19">
        <v>4</v>
      </c>
    </row>
    <row r="20" spans="1:3">
      <c r="A20">
        <f t="shared" si="3"/>
        <v>2</v>
      </c>
      <c r="B20">
        <f t="shared" si="4"/>
        <v>7</v>
      </c>
      <c r="C20">
        <v>4</v>
      </c>
    </row>
    <row r="21" spans="1:3">
      <c r="A21">
        <f t="shared" si="3"/>
        <v>2</v>
      </c>
      <c r="B21">
        <f t="shared" si="4"/>
        <v>8</v>
      </c>
      <c r="C21" s="14">
        <v>6</v>
      </c>
    </row>
    <row r="22" spans="1:3">
      <c r="A22">
        <f t="shared" si="3"/>
        <v>2</v>
      </c>
      <c r="B22">
        <f t="shared" si="4"/>
        <v>9</v>
      </c>
      <c r="C22">
        <v>5</v>
      </c>
    </row>
    <row r="23" spans="1:3">
      <c r="A23">
        <f t="shared" si="3"/>
        <v>2</v>
      </c>
      <c r="B23">
        <f t="shared" si="4"/>
        <v>10</v>
      </c>
      <c r="C23">
        <v>6</v>
      </c>
    </row>
    <row r="24" spans="1:3">
      <c r="A24">
        <f t="shared" si="3"/>
        <v>2</v>
      </c>
      <c r="B24">
        <f t="shared" si="4"/>
        <v>11</v>
      </c>
      <c r="C24">
        <v>6</v>
      </c>
    </row>
    <row r="25" spans="1:3">
      <c r="A25">
        <f t="shared" si="3"/>
        <v>2</v>
      </c>
      <c r="B25">
        <f t="shared" si="4"/>
        <v>12</v>
      </c>
      <c r="C25">
        <v>9</v>
      </c>
    </row>
    <row r="26" spans="1:3">
      <c r="A26">
        <f t="shared" si="3"/>
        <v>3</v>
      </c>
      <c r="B26">
        <f t="shared" si="4"/>
        <v>1</v>
      </c>
      <c r="C26">
        <v>5</v>
      </c>
    </row>
    <row r="27" spans="1:3">
      <c r="A27">
        <f t="shared" si="3"/>
        <v>3</v>
      </c>
      <c r="B27">
        <f t="shared" si="4"/>
        <v>2</v>
      </c>
      <c r="C27">
        <v>6</v>
      </c>
    </row>
    <row r="28" spans="1:3">
      <c r="A28">
        <f t="shared" si="3"/>
        <v>3</v>
      </c>
      <c r="B28">
        <f t="shared" si="4"/>
        <v>3</v>
      </c>
      <c r="C28">
        <v>7</v>
      </c>
    </row>
    <row r="29" spans="1:3">
      <c r="A29">
        <f t="shared" si="3"/>
        <v>3</v>
      </c>
      <c r="B29">
        <f t="shared" si="4"/>
        <v>4</v>
      </c>
      <c r="C29">
        <v>7</v>
      </c>
    </row>
    <row r="30" spans="1:3">
      <c r="A30">
        <f t="shared" si="3"/>
        <v>3</v>
      </c>
      <c r="B30">
        <f t="shared" si="4"/>
        <v>5</v>
      </c>
      <c r="C30">
        <v>8</v>
      </c>
    </row>
    <row r="31" spans="1:3">
      <c r="A31">
        <f t="shared" si="3"/>
        <v>3</v>
      </c>
      <c r="B31">
        <f t="shared" si="4"/>
        <v>6</v>
      </c>
      <c r="C31">
        <v>8</v>
      </c>
    </row>
    <row r="32" spans="1:3">
      <c r="A32">
        <f t="shared" si="3"/>
        <v>3</v>
      </c>
      <c r="B32">
        <f t="shared" si="4"/>
        <v>7</v>
      </c>
      <c r="C32">
        <v>8</v>
      </c>
    </row>
    <row r="33" spans="1:3">
      <c r="A33">
        <f t="shared" si="3"/>
        <v>3</v>
      </c>
      <c r="B33">
        <f t="shared" si="4"/>
        <v>8</v>
      </c>
      <c r="C33">
        <v>9</v>
      </c>
    </row>
    <row r="34" spans="1:3">
      <c r="A34">
        <f t="shared" si="3"/>
        <v>3</v>
      </c>
      <c r="B34">
        <f t="shared" si="4"/>
        <v>9</v>
      </c>
      <c r="C34">
        <v>9</v>
      </c>
    </row>
    <row r="35" spans="1:3">
      <c r="A35">
        <f t="shared" si="3"/>
        <v>3</v>
      </c>
      <c r="B35">
        <f t="shared" si="4"/>
        <v>10</v>
      </c>
      <c r="C35">
        <v>10</v>
      </c>
    </row>
    <row r="36" spans="1:3">
      <c r="A36">
        <f t="shared" si="3"/>
        <v>3</v>
      </c>
      <c r="B36">
        <f t="shared" si="4"/>
        <v>11</v>
      </c>
      <c r="C36">
        <v>10</v>
      </c>
    </row>
    <row r="37" spans="1:3">
      <c r="A37">
        <f t="shared" si="3"/>
        <v>3</v>
      </c>
      <c r="B37">
        <f t="shared" si="4"/>
        <v>12</v>
      </c>
      <c r="C37">
        <v>13</v>
      </c>
    </row>
    <row r="38" spans="1:3">
      <c r="A38">
        <f t="shared" si="3"/>
        <v>4</v>
      </c>
      <c r="B38">
        <f t="shared" si="4"/>
        <v>1</v>
      </c>
      <c r="C38">
        <v>16</v>
      </c>
    </row>
    <row r="39" spans="1:3">
      <c r="A39">
        <f t="shared" si="3"/>
        <v>4</v>
      </c>
      <c r="B39">
        <f t="shared" si="4"/>
        <v>2</v>
      </c>
      <c r="C39">
        <v>16</v>
      </c>
    </row>
    <row r="40" spans="1:3">
      <c r="A40">
        <f t="shared" ref="A40:A71" si="5">A28+1</f>
        <v>4</v>
      </c>
      <c r="B40">
        <f t="shared" ref="B40:B71" si="6">B28</f>
        <v>3</v>
      </c>
      <c r="C40">
        <v>17</v>
      </c>
    </row>
    <row r="41" spans="1:3">
      <c r="A41">
        <f t="shared" si="5"/>
        <v>4</v>
      </c>
      <c r="B41">
        <f t="shared" si="6"/>
        <v>4</v>
      </c>
      <c r="C41">
        <v>17</v>
      </c>
    </row>
    <row r="42" spans="1:3">
      <c r="A42">
        <f t="shared" si="5"/>
        <v>4</v>
      </c>
      <c r="B42">
        <f t="shared" si="6"/>
        <v>5</v>
      </c>
      <c r="C42">
        <v>18</v>
      </c>
    </row>
    <row r="43" spans="1:3">
      <c r="A43">
        <f t="shared" si="5"/>
        <v>4</v>
      </c>
      <c r="B43">
        <f t="shared" si="6"/>
        <v>6</v>
      </c>
      <c r="C43">
        <v>18</v>
      </c>
    </row>
    <row r="44" spans="1:3">
      <c r="A44">
        <f t="shared" si="5"/>
        <v>4</v>
      </c>
      <c r="B44">
        <f t="shared" si="6"/>
        <v>7</v>
      </c>
      <c r="C44">
        <v>19</v>
      </c>
    </row>
    <row r="45" spans="1:3">
      <c r="A45">
        <f t="shared" si="5"/>
        <v>4</v>
      </c>
      <c r="B45">
        <f t="shared" si="6"/>
        <v>8</v>
      </c>
      <c r="C45">
        <v>21</v>
      </c>
    </row>
    <row r="46" spans="1:3">
      <c r="A46">
        <f t="shared" si="5"/>
        <v>4</v>
      </c>
      <c r="B46">
        <f t="shared" si="6"/>
        <v>9</v>
      </c>
      <c r="C46">
        <v>20</v>
      </c>
    </row>
    <row r="47" spans="1:3">
      <c r="A47">
        <f t="shared" si="5"/>
        <v>4</v>
      </c>
      <c r="B47">
        <f t="shared" si="6"/>
        <v>10</v>
      </c>
      <c r="C47">
        <v>20</v>
      </c>
    </row>
    <row r="48" spans="1:3">
      <c r="A48">
        <f t="shared" si="5"/>
        <v>4</v>
      </c>
      <c r="B48">
        <f t="shared" si="6"/>
        <v>11</v>
      </c>
      <c r="C48">
        <v>21</v>
      </c>
    </row>
    <row r="49" spans="1:3">
      <c r="A49">
        <f t="shared" si="5"/>
        <v>4</v>
      </c>
      <c r="B49">
        <f t="shared" si="6"/>
        <v>12</v>
      </c>
      <c r="C49">
        <v>24</v>
      </c>
    </row>
    <row r="50" spans="1:3">
      <c r="A50">
        <f t="shared" si="5"/>
        <v>5</v>
      </c>
      <c r="B50">
        <f t="shared" si="6"/>
        <v>1</v>
      </c>
      <c r="C50">
        <v>23</v>
      </c>
    </row>
    <row r="51" spans="1:3">
      <c r="A51">
        <f t="shared" si="5"/>
        <v>5</v>
      </c>
      <c r="B51">
        <f t="shared" si="6"/>
        <v>2</v>
      </c>
      <c r="C51">
        <v>23</v>
      </c>
    </row>
    <row r="52" spans="1:3">
      <c r="A52">
        <f t="shared" si="5"/>
        <v>5</v>
      </c>
      <c r="B52">
        <f t="shared" si="6"/>
        <v>3</v>
      </c>
      <c r="C52">
        <v>24</v>
      </c>
    </row>
    <row r="53" spans="1:3">
      <c r="A53">
        <f t="shared" si="5"/>
        <v>5</v>
      </c>
      <c r="B53">
        <f t="shared" si="6"/>
        <v>4</v>
      </c>
      <c r="C53">
        <v>24</v>
      </c>
    </row>
    <row r="54" spans="1:3">
      <c r="A54">
        <f t="shared" si="5"/>
        <v>5</v>
      </c>
      <c r="B54">
        <f t="shared" si="6"/>
        <v>5</v>
      </c>
      <c r="C54">
        <v>25</v>
      </c>
    </row>
    <row r="55" spans="1:3">
      <c r="A55">
        <f t="shared" si="5"/>
        <v>5</v>
      </c>
      <c r="B55">
        <f t="shared" si="6"/>
        <v>6</v>
      </c>
      <c r="C55">
        <v>25</v>
      </c>
    </row>
    <row r="56" spans="1:3">
      <c r="A56">
        <f t="shared" si="5"/>
        <v>5</v>
      </c>
      <c r="B56">
        <f t="shared" si="6"/>
        <v>7</v>
      </c>
      <c r="C56">
        <v>26</v>
      </c>
    </row>
    <row r="57" spans="1:3">
      <c r="A57">
        <f t="shared" si="5"/>
        <v>5</v>
      </c>
      <c r="B57">
        <f t="shared" si="6"/>
        <v>8</v>
      </c>
      <c r="C57">
        <v>28</v>
      </c>
    </row>
    <row r="58" spans="1:3">
      <c r="A58">
        <f t="shared" si="5"/>
        <v>5</v>
      </c>
      <c r="B58">
        <f t="shared" si="6"/>
        <v>9</v>
      </c>
      <c r="C58">
        <v>27</v>
      </c>
    </row>
    <row r="59" spans="1:3">
      <c r="A59">
        <f t="shared" si="5"/>
        <v>5</v>
      </c>
      <c r="B59">
        <f t="shared" si="6"/>
        <v>10</v>
      </c>
      <c r="C59">
        <v>27</v>
      </c>
    </row>
    <row r="60" spans="1:3">
      <c r="A60">
        <f t="shared" si="5"/>
        <v>5</v>
      </c>
      <c r="B60">
        <f t="shared" si="6"/>
        <v>11</v>
      </c>
      <c r="C60">
        <v>28</v>
      </c>
    </row>
    <row r="61" spans="1:3">
      <c r="A61">
        <f t="shared" si="5"/>
        <v>5</v>
      </c>
      <c r="B61">
        <f t="shared" si="6"/>
        <v>12</v>
      </c>
      <c r="C61" s="14">
        <v>31</v>
      </c>
    </row>
    <row r="62" spans="1:3">
      <c r="A62">
        <f t="shared" si="5"/>
        <v>6</v>
      </c>
      <c r="B62">
        <f t="shared" si="6"/>
        <v>1</v>
      </c>
      <c r="C62">
        <v>27</v>
      </c>
    </row>
    <row r="63" spans="1:3">
      <c r="A63">
        <f t="shared" si="5"/>
        <v>6</v>
      </c>
      <c r="B63">
        <f t="shared" si="6"/>
        <v>2</v>
      </c>
      <c r="C63">
        <v>27</v>
      </c>
    </row>
    <row r="64" spans="1:3">
      <c r="A64">
        <f t="shared" si="5"/>
        <v>6</v>
      </c>
      <c r="B64">
        <f t="shared" si="6"/>
        <v>3</v>
      </c>
      <c r="C64">
        <v>28</v>
      </c>
    </row>
    <row r="65" spans="1:3">
      <c r="A65">
        <f t="shared" si="5"/>
        <v>6</v>
      </c>
      <c r="B65">
        <f t="shared" si="6"/>
        <v>4</v>
      </c>
      <c r="C65">
        <v>28</v>
      </c>
    </row>
    <row r="66" spans="1:3">
      <c r="A66">
        <f t="shared" si="5"/>
        <v>6</v>
      </c>
      <c r="B66">
        <f t="shared" si="6"/>
        <v>5</v>
      </c>
      <c r="C66">
        <v>29</v>
      </c>
    </row>
    <row r="67" spans="1:3">
      <c r="A67">
        <f t="shared" si="5"/>
        <v>6</v>
      </c>
      <c r="B67">
        <f t="shared" si="6"/>
        <v>6</v>
      </c>
      <c r="C67">
        <v>29</v>
      </c>
    </row>
    <row r="68" spans="1:3">
      <c r="A68">
        <f t="shared" si="5"/>
        <v>6</v>
      </c>
      <c r="B68">
        <f t="shared" si="6"/>
        <v>7</v>
      </c>
      <c r="C68">
        <v>30</v>
      </c>
    </row>
    <row r="69" spans="1:3">
      <c r="A69">
        <f t="shared" si="5"/>
        <v>6</v>
      </c>
      <c r="B69">
        <f t="shared" si="6"/>
        <v>8</v>
      </c>
      <c r="C69">
        <v>32</v>
      </c>
    </row>
    <row r="70" spans="1:3">
      <c r="A70">
        <f t="shared" si="5"/>
        <v>6</v>
      </c>
      <c r="B70">
        <f t="shared" si="6"/>
        <v>9</v>
      </c>
      <c r="C70">
        <v>31</v>
      </c>
    </row>
    <row r="71" spans="1:3">
      <c r="A71">
        <f t="shared" si="5"/>
        <v>6</v>
      </c>
      <c r="B71">
        <f t="shared" si="6"/>
        <v>10</v>
      </c>
      <c r="C71">
        <v>31</v>
      </c>
    </row>
    <row r="72" spans="1:3">
      <c r="A72">
        <f t="shared" ref="A72:A103" si="7">A60+1</f>
        <v>6</v>
      </c>
      <c r="B72">
        <f t="shared" ref="B72:B103" si="8">B60</f>
        <v>11</v>
      </c>
      <c r="C72">
        <v>32</v>
      </c>
    </row>
    <row r="73" spans="1:3">
      <c r="A73">
        <f t="shared" si="7"/>
        <v>6</v>
      </c>
      <c r="B73">
        <f t="shared" si="8"/>
        <v>12</v>
      </c>
      <c r="C73">
        <v>35</v>
      </c>
    </row>
    <row r="74" spans="1:3">
      <c r="A74">
        <f t="shared" si="7"/>
        <v>7</v>
      </c>
      <c r="B74">
        <f t="shared" si="8"/>
        <v>1</v>
      </c>
      <c r="C74">
        <v>34</v>
      </c>
    </row>
    <row r="75" spans="1:3">
      <c r="A75">
        <f t="shared" si="7"/>
        <v>7</v>
      </c>
      <c r="B75">
        <f t="shared" si="8"/>
        <v>2</v>
      </c>
      <c r="C75">
        <v>34</v>
      </c>
    </row>
    <row r="76" spans="1:3">
      <c r="A76">
        <f t="shared" si="7"/>
        <v>7</v>
      </c>
      <c r="B76">
        <f t="shared" si="8"/>
        <v>3</v>
      </c>
      <c r="C76">
        <v>35</v>
      </c>
    </row>
    <row r="77" spans="1:3">
      <c r="A77">
        <f t="shared" si="7"/>
        <v>7</v>
      </c>
      <c r="B77">
        <f t="shared" si="8"/>
        <v>4</v>
      </c>
      <c r="C77">
        <v>35</v>
      </c>
    </row>
    <row r="78" spans="1:3">
      <c r="A78">
        <f t="shared" si="7"/>
        <v>7</v>
      </c>
      <c r="B78">
        <f t="shared" si="8"/>
        <v>5</v>
      </c>
      <c r="C78">
        <v>36</v>
      </c>
    </row>
    <row r="79" spans="1:3">
      <c r="A79">
        <f t="shared" si="7"/>
        <v>7</v>
      </c>
      <c r="B79">
        <f t="shared" si="8"/>
        <v>6</v>
      </c>
      <c r="C79">
        <v>36</v>
      </c>
    </row>
    <row r="80" spans="1:3">
      <c r="A80">
        <f t="shared" si="7"/>
        <v>7</v>
      </c>
      <c r="B80">
        <f t="shared" si="8"/>
        <v>7</v>
      </c>
      <c r="C80">
        <v>37</v>
      </c>
    </row>
    <row r="81" spans="1:3">
      <c r="A81">
        <f t="shared" si="7"/>
        <v>7</v>
      </c>
      <c r="B81">
        <f t="shared" si="8"/>
        <v>8</v>
      </c>
      <c r="C81">
        <v>39</v>
      </c>
    </row>
    <row r="82" spans="1:3">
      <c r="A82">
        <f t="shared" si="7"/>
        <v>7</v>
      </c>
      <c r="B82">
        <f t="shared" si="8"/>
        <v>9</v>
      </c>
      <c r="C82">
        <v>38</v>
      </c>
    </row>
    <row r="83" spans="1:3">
      <c r="A83">
        <f t="shared" si="7"/>
        <v>7</v>
      </c>
      <c r="B83">
        <f t="shared" si="8"/>
        <v>10</v>
      </c>
      <c r="C83">
        <v>38</v>
      </c>
    </row>
    <row r="84" spans="1:3">
      <c r="A84">
        <f t="shared" si="7"/>
        <v>7</v>
      </c>
      <c r="B84">
        <f t="shared" si="8"/>
        <v>11</v>
      </c>
      <c r="C84">
        <v>39</v>
      </c>
    </row>
    <row r="85" spans="1:3">
      <c r="A85">
        <f t="shared" si="7"/>
        <v>7</v>
      </c>
      <c r="B85">
        <f t="shared" si="8"/>
        <v>12</v>
      </c>
      <c r="C85">
        <v>41</v>
      </c>
    </row>
    <row r="86" spans="1:3">
      <c r="A86">
        <f t="shared" si="7"/>
        <v>8</v>
      </c>
      <c r="B86">
        <f t="shared" si="8"/>
        <v>1</v>
      </c>
      <c r="C86">
        <v>39</v>
      </c>
    </row>
    <row r="87" spans="1:3">
      <c r="A87">
        <f t="shared" si="7"/>
        <v>8</v>
      </c>
      <c r="B87">
        <f t="shared" si="8"/>
        <v>2</v>
      </c>
      <c r="C87">
        <v>40</v>
      </c>
    </row>
    <row r="88" spans="1:3">
      <c r="A88">
        <f t="shared" si="7"/>
        <v>8</v>
      </c>
      <c r="B88">
        <f t="shared" si="8"/>
        <v>3</v>
      </c>
      <c r="C88">
        <v>41</v>
      </c>
    </row>
    <row r="89" spans="1:3">
      <c r="A89">
        <f t="shared" si="7"/>
        <v>8</v>
      </c>
      <c r="B89">
        <f t="shared" si="8"/>
        <v>4</v>
      </c>
      <c r="C89">
        <v>42</v>
      </c>
    </row>
    <row r="90" spans="1:3">
      <c r="A90">
        <f t="shared" si="7"/>
        <v>8</v>
      </c>
      <c r="B90">
        <f t="shared" si="8"/>
        <v>5</v>
      </c>
      <c r="C90">
        <v>43</v>
      </c>
    </row>
    <row r="91" spans="1:3">
      <c r="A91">
        <f t="shared" si="7"/>
        <v>8</v>
      </c>
      <c r="B91">
        <f t="shared" si="8"/>
        <v>6</v>
      </c>
      <c r="C91">
        <v>44</v>
      </c>
    </row>
    <row r="92" spans="1:3">
      <c r="A92">
        <f t="shared" si="7"/>
        <v>8</v>
      </c>
      <c r="B92">
        <f t="shared" si="8"/>
        <v>7</v>
      </c>
      <c r="C92">
        <v>45</v>
      </c>
    </row>
    <row r="93" spans="1:3">
      <c r="A93">
        <f t="shared" si="7"/>
        <v>8</v>
      </c>
      <c r="B93">
        <f t="shared" si="8"/>
        <v>8</v>
      </c>
      <c r="C93">
        <v>47</v>
      </c>
    </row>
    <row r="94" spans="1:3">
      <c r="A94">
        <f t="shared" si="7"/>
        <v>8</v>
      </c>
      <c r="B94">
        <f t="shared" si="8"/>
        <v>9</v>
      </c>
      <c r="C94">
        <v>46</v>
      </c>
    </row>
    <row r="95" spans="1:3">
      <c r="A95">
        <f t="shared" si="7"/>
        <v>8</v>
      </c>
      <c r="B95">
        <f t="shared" si="8"/>
        <v>10</v>
      </c>
      <c r="C95">
        <v>47</v>
      </c>
    </row>
    <row r="96" spans="1:3">
      <c r="A96">
        <f t="shared" si="7"/>
        <v>8</v>
      </c>
      <c r="B96">
        <f t="shared" si="8"/>
        <v>11</v>
      </c>
      <c r="C96">
        <v>48</v>
      </c>
    </row>
    <row r="97" spans="1:3">
      <c r="A97">
        <f t="shared" si="7"/>
        <v>8</v>
      </c>
      <c r="B97">
        <f t="shared" si="8"/>
        <v>12</v>
      </c>
      <c r="C97">
        <v>51</v>
      </c>
    </row>
    <row r="98" spans="1:3">
      <c r="A98">
        <f t="shared" si="7"/>
        <v>9</v>
      </c>
      <c r="B98">
        <f t="shared" si="8"/>
        <v>1</v>
      </c>
      <c r="C98">
        <f>C97-1</f>
        <v>50</v>
      </c>
    </row>
    <row r="99" spans="1:3">
      <c r="A99">
        <f t="shared" si="7"/>
        <v>9</v>
      </c>
      <c r="B99">
        <f t="shared" si="8"/>
        <v>2</v>
      </c>
      <c r="C99">
        <f t="shared" ref="C99:C104" si="9">C98+1</f>
        <v>51</v>
      </c>
    </row>
    <row r="100" spans="1:3">
      <c r="A100">
        <f t="shared" si="7"/>
        <v>9</v>
      </c>
      <c r="B100">
        <f t="shared" si="8"/>
        <v>3</v>
      </c>
      <c r="C100">
        <f t="shared" si="9"/>
        <v>52</v>
      </c>
    </row>
    <row r="101" spans="1:3">
      <c r="A101">
        <f t="shared" si="7"/>
        <v>9</v>
      </c>
      <c r="B101">
        <f t="shared" si="8"/>
        <v>4</v>
      </c>
      <c r="C101">
        <f t="shared" si="9"/>
        <v>53</v>
      </c>
    </row>
    <row r="102" spans="1:3">
      <c r="A102">
        <f t="shared" si="7"/>
        <v>9</v>
      </c>
      <c r="B102">
        <f t="shared" si="8"/>
        <v>5</v>
      </c>
      <c r="C102">
        <f t="shared" si="9"/>
        <v>54</v>
      </c>
    </row>
    <row r="103" spans="1:3">
      <c r="A103">
        <f t="shared" si="7"/>
        <v>9</v>
      </c>
      <c r="B103">
        <f t="shared" si="8"/>
        <v>6</v>
      </c>
      <c r="C103">
        <f t="shared" si="9"/>
        <v>55</v>
      </c>
    </row>
    <row r="104" spans="1:3">
      <c r="A104">
        <f t="shared" ref="A104:A126" si="10">A92+1</f>
        <v>9</v>
      </c>
      <c r="B104">
        <f t="shared" ref="B104:B126" si="11">B92</f>
        <v>7</v>
      </c>
      <c r="C104">
        <f t="shared" si="9"/>
        <v>56</v>
      </c>
    </row>
    <row r="105" spans="1:3">
      <c r="A105">
        <f t="shared" si="10"/>
        <v>9</v>
      </c>
      <c r="B105">
        <f t="shared" si="11"/>
        <v>8</v>
      </c>
      <c r="C105">
        <f>C104+2</f>
        <v>58</v>
      </c>
    </row>
    <row r="106" spans="1:3">
      <c r="A106">
        <f t="shared" si="10"/>
        <v>9</v>
      </c>
      <c r="B106">
        <f t="shared" si="11"/>
        <v>9</v>
      </c>
      <c r="C106">
        <f>C105-1</f>
        <v>57</v>
      </c>
    </row>
    <row r="107" spans="1:3">
      <c r="A107">
        <f t="shared" si="10"/>
        <v>9</v>
      </c>
      <c r="B107">
        <f t="shared" si="11"/>
        <v>10</v>
      </c>
      <c r="C107">
        <f t="shared" ref="C107:C116" si="12">C106+1</f>
        <v>58</v>
      </c>
    </row>
    <row r="108" spans="1:3">
      <c r="A108">
        <f t="shared" si="10"/>
        <v>9</v>
      </c>
      <c r="B108">
        <f t="shared" si="11"/>
        <v>11</v>
      </c>
      <c r="C108">
        <f t="shared" si="12"/>
        <v>59</v>
      </c>
    </row>
    <row r="109" spans="1:3">
      <c r="A109">
        <f t="shared" si="10"/>
        <v>9</v>
      </c>
      <c r="B109">
        <f t="shared" si="11"/>
        <v>12</v>
      </c>
      <c r="C109">
        <f>C108+3</f>
        <v>62</v>
      </c>
    </row>
    <row r="110" spans="1:3">
      <c r="A110">
        <f t="shared" si="10"/>
        <v>10</v>
      </c>
      <c r="B110">
        <f t="shared" si="11"/>
        <v>1</v>
      </c>
      <c r="C110">
        <f>C109-1</f>
        <v>61</v>
      </c>
    </row>
    <row r="111" spans="1:3">
      <c r="A111">
        <f t="shared" si="10"/>
        <v>10</v>
      </c>
      <c r="B111">
        <f t="shared" si="11"/>
        <v>2</v>
      </c>
      <c r="C111">
        <f t="shared" si="12"/>
        <v>62</v>
      </c>
    </row>
    <row r="112" spans="1:3">
      <c r="A112">
        <f t="shared" si="10"/>
        <v>10</v>
      </c>
      <c r="B112">
        <f t="shared" si="11"/>
        <v>3</v>
      </c>
      <c r="C112">
        <f t="shared" si="12"/>
        <v>63</v>
      </c>
    </row>
    <row r="113" spans="1:3">
      <c r="A113">
        <f t="shared" si="10"/>
        <v>10</v>
      </c>
      <c r="B113">
        <f t="shared" si="11"/>
        <v>4</v>
      </c>
      <c r="C113">
        <f t="shared" si="12"/>
        <v>64</v>
      </c>
    </row>
    <row r="114" spans="1:3">
      <c r="A114">
        <f t="shared" si="10"/>
        <v>10</v>
      </c>
      <c r="B114">
        <f t="shared" si="11"/>
        <v>5</v>
      </c>
      <c r="C114">
        <f t="shared" si="12"/>
        <v>65</v>
      </c>
    </row>
    <row r="115" spans="1:3">
      <c r="A115">
        <f t="shared" si="10"/>
        <v>10</v>
      </c>
      <c r="B115">
        <f t="shared" si="11"/>
        <v>6</v>
      </c>
      <c r="C115">
        <f t="shared" si="12"/>
        <v>66</v>
      </c>
    </row>
    <row r="116" spans="1:3">
      <c r="A116">
        <f t="shared" si="10"/>
        <v>10</v>
      </c>
      <c r="B116">
        <f t="shared" si="11"/>
        <v>7</v>
      </c>
      <c r="C116">
        <f t="shared" si="12"/>
        <v>67</v>
      </c>
    </row>
    <row r="117" spans="1:3">
      <c r="A117">
        <f t="shared" si="10"/>
        <v>10</v>
      </c>
      <c r="B117">
        <f t="shared" si="11"/>
        <v>8</v>
      </c>
      <c r="C117">
        <f>C116+2</f>
        <v>69</v>
      </c>
    </row>
    <row r="118" spans="1:3">
      <c r="A118">
        <f t="shared" si="10"/>
        <v>10</v>
      </c>
      <c r="B118">
        <f t="shared" si="11"/>
        <v>9</v>
      </c>
      <c r="C118">
        <f>C117-1</f>
        <v>68</v>
      </c>
    </row>
    <row r="119" spans="1:3">
      <c r="A119">
        <f t="shared" si="10"/>
        <v>10</v>
      </c>
      <c r="B119">
        <f t="shared" si="11"/>
        <v>10</v>
      </c>
      <c r="C119">
        <f t="shared" ref="C119:C128" si="13">C118+1</f>
        <v>69</v>
      </c>
    </row>
    <row r="120" spans="1:3">
      <c r="A120">
        <f t="shared" si="10"/>
        <v>10</v>
      </c>
      <c r="B120">
        <f t="shared" si="11"/>
        <v>11</v>
      </c>
      <c r="C120">
        <f t="shared" si="13"/>
        <v>70</v>
      </c>
    </row>
    <row r="121" spans="1:3">
      <c r="A121">
        <f t="shared" si="10"/>
        <v>10</v>
      </c>
      <c r="B121">
        <f t="shared" si="11"/>
        <v>12</v>
      </c>
      <c r="C121">
        <f>C120+3</f>
        <v>73</v>
      </c>
    </row>
    <row r="122" spans="1:3">
      <c r="A122">
        <f t="shared" si="10"/>
        <v>11</v>
      </c>
      <c r="B122">
        <f t="shared" si="11"/>
        <v>1</v>
      </c>
      <c r="C122">
        <f>C121-1</f>
        <v>72</v>
      </c>
    </row>
    <row r="123" spans="1:3">
      <c r="A123">
        <f t="shared" si="10"/>
        <v>11</v>
      </c>
      <c r="B123">
        <f t="shared" si="11"/>
        <v>2</v>
      </c>
      <c r="C123">
        <f t="shared" si="13"/>
        <v>73</v>
      </c>
    </row>
    <row r="124" spans="1:3">
      <c r="A124">
        <f t="shared" si="10"/>
        <v>11</v>
      </c>
      <c r="B124">
        <f t="shared" si="11"/>
        <v>3</v>
      </c>
      <c r="C124">
        <f t="shared" si="13"/>
        <v>74</v>
      </c>
    </row>
    <row r="125" spans="1:3">
      <c r="A125">
        <f t="shared" si="10"/>
        <v>11</v>
      </c>
      <c r="B125">
        <f t="shared" si="11"/>
        <v>4</v>
      </c>
      <c r="C125">
        <f t="shared" si="13"/>
        <v>75</v>
      </c>
    </row>
    <row r="126" spans="1:3">
      <c r="A126">
        <f t="shared" si="10"/>
        <v>11</v>
      </c>
      <c r="B126">
        <f t="shared" si="11"/>
        <v>5</v>
      </c>
      <c r="C126">
        <f t="shared" si="13"/>
        <v>76</v>
      </c>
    </row>
    <row r="127" spans="1:3">
      <c r="A127">
        <f t="shared" ref="A127:A145" si="14">A115+1</f>
        <v>11</v>
      </c>
      <c r="B127">
        <f t="shared" ref="B127:B145" si="15">B115</f>
        <v>6</v>
      </c>
      <c r="C127">
        <f t="shared" si="13"/>
        <v>77</v>
      </c>
    </row>
    <row r="128" spans="1:3">
      <c r="A128">
        <f t="shared" si="14"/>
        <v>11</v>
      </c>
      <c r="B128">
        <f t="shared" si="15"/>
        <v>7</v>
      </c>
      <c r="C128">
        <f t="shared" si="13"/>
        <v>78</v>
      </c>
    </row>
    <row r="129" spans="1:3">
      <c r="A129">
        <f t="shared" si="14"/>
        <v>11</v>
      </c>
      <c r="B129">
        <f t="shared" si="15"/>
        <v>8</v>
      </c>
      <c r="C129">
        <f>C128+2</f>
        <v>80</v>
      </c>
    </row>
    <row r="130" spans="1:3">
      <c r="A130">
        <f t="shared" si="14"/>
        <v>11</v>
      </c>
      <c r="B130">
        <f t="shared" si="15"/>
        <v>9</v>
      </c>
      <c r="C130">
        <f>C129-1</f>
        <v>79</v>
      </c>
    </row>
    <row r="131" spans="1:3">
      <c r="A131">
        <f t="shared" si="14"/>
        <v>11</v>
      </c>
      <c r="B131">
        <f t="shared" si="15"/>
        <v>10</v>
      </c>
      <c r="C131">
        <f t="shared" ref="C131:C140" si="16">C130+1</f>
        <v>80</v>
      </c>
    </row>
    <row r="132" spans="1:3">
      <c r="A132">
        <f t="shared" si="14"/>
        <v>11</v>
      </c>
      <c r="B132">
        <f t="shared" si="15"/>
        <v>11</v>
      </c>
      <c r="C132">
        <f t="shared" si="16"/>
        <v>81</v>
      </c>
    </row>
    <row r="133" spans="1:3">
      <c r="A133">
        <f t="shared" si="14"/>
        <v>11</v>
      </c>
      <c r="B133">
        <f t="shared" si="15"/>
        <v>12</v>
      </c>
      <c r="C133">
        <f>C132+3</f>
        <v>84</v>
      </c>
    </row>
    <row r="134" spans="1:3">
      <c r="A134">
        <f t="shared" si="14"/>
        <v>12</v>
      </c>
      <c r="B134">
        <f t="shared" si="15"/>
        <v>1</v>
      </c>
      <c r="C134">
        <f>C133-1</f>
        <v>83</v>
      </c>
    </row>
    <row r="135" spans="1:3">
      <c r="A135">
        <f t="shared" si="14"/>
        <v>12</v>
      </c>
      <c r="B135">
        <f t="shared" si="15"/>
        <v>2</v>
      </c>
      <c r="C135">
        <f t="shared" si="16"/>
        <v>84</v>
      </c>
    </row>
    <row r="136" spans="1:3">
      <c r="A136">
        <f t="shared" si="14"/>
        <v>12</v>
      </c>
      <c r="B136">
        <f t="shared" si="15"/>
        <v>3</v>
      </c>
      <c r="C136">
        <f t="shared" si="16"/>
        <v>85</v>
      </c>
    </row>
    <row r="137" spans="1:3">
      <c r="A137">
        <f t="shared" si="14"/>
        <v>12</v>
      </c>
      <c r="B137">
        <f t="shared" si="15"/>
        <v>4</v>
      </c>
      <c r="C137">
        <f t="shared" si="16"/>
        <v>86</v>
      </c>
    </row>
    <row r="138" spans="1:3">
      <c r="A138">
        <f t="shared" si="14"/>
        <v>12</v>
      </c>
      <c r="B138">
        <f t="shared" si="15"/>
        <v>5</v>
      </c>
      <c r="C138">
        <f t="shared" si="16"/>
        <v>87</v>
      </c>
    </row>
    <row r="139" spans="1:3">
      <c r="A139">
        <f t="shared" si="14"/>
        <v>12</v>
      </c>
      <c r="B139">
        <f t="shared" si="15"/>
        <v>6</v>
      </c>
      <c r="C139">
        <f t="shared" si="16"/>
        <v>88</v>
      </c>
    </row>
    <row r="140" spans="1:3">
      <c r="A140">
        <f t="shared" si="14"/>
        <v>12</v>
      </c>
      <c r="B140">
        <f t="shared" si="15"/>
        <v>7</v>
      </c>
      <c r="C140">
        <f t="shared" si="16"/>
        <v>89</v>
      </c>
    </row>
    <row r="141" spans="1:3">
      <c r="A141">
        <f t="shared" si="14"/>
        <v>12</v>
      </c>
      <c r="B141">
        <f t="shared" si="15"/>
        <v>8</v>
      </c>
      <c r="C141">
        <f>C140+2</f>
        <v>91</v>
      </c>
    </row>
    <row r="142" spans="1:3">
      <c r="A142">
        <f t="shared" si="14"/>
        <v>12</v>
      </c>
      <c r="B142">
        <f t="shared" si="15"/>
        <v>9</v>
      </c>
      <c r="C142">
        <f>C141-1</f>
        <v>90</v>
      </c>
    </row>
    <row r="143" spans="1:3">
      <c r="A143">
        <f t="shared" si="14"/>
        <v>12</v>
      </c>
      <c r="B143">
        <f t="shared" si="15"/>
        <v>10</v>
      </c>
      <c r="C143">
        <f>C142+1</f>
        <v>91</v>
      </c>
    </row>
    <row r="144" spans="1:3">
      <c r="A144">
        <f t="shared" si="14"/>
        <v>12</v>
      </c>
      <c r="B144">
        <f t="shared" si="15"/>
        <v>11</v>
      </c>
      <c r="C144">
        <f>C143+1</f>
        <v>92</v>
      </c>
    </row>
    <row r="145" spans="1:3">
      <c r="A145">
        <f t="shared" si="14"/>
        <v>12</v>
      </c>
      <c r="B145">
        <f t="shared" si="15"/>
        <v>12</v>
      </c>
      <c r="C145">
        <f>C144+3</f>
        <v>95</v>
      </c>
    </row>
  </sheetData>
  <pageMargins left="0.75" right="0.75" top="1" bottom="1" header="0.511805555555556" footer="0.511805555555556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92"/>
  <sheetViews>
    <sheetView workbookViewId="0">
      <pane ySplit="1" topLeftCell="A2" activePane="bottomLeft" state="frozen"/>
      <selection/>
      <selection pane="bottomLeft" activeCell="O10" sqref="O10"/>
    </sheetView>
  </sheetViews>
  <sheetFormatPr defaultColWidth="9" defaultRowHeight="13.5"/>
  <cols>
    <col min="2" max="2" width="15.5" customWidth="1"/>
  </cols>
  <sheetData>
    <row r="1" spans="1:12">
      <c r="A1" t="s">
        <v>244</v>
      </c>
      <c r="B1" t="s">
        <v>1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245</v>
      </c>
      <c r="J1" t="s">
        <v>246</v>
      </c>
      <c r="K1" t="s">
        <v>247</v>
      </c>
      <c r="L1" t="s">
        <v>248</v>
      </c>
    </row>
    <row r="2" spans="1:12">
      <c r="A2" s="6">
        <v>10000</v>
      </c>
      <c r="B2" s="7" t="s">
        <v>251</v>
      </c>
      <c r="C2">
        <f t="shared" ref="C2:F2" si="0">I2</f>
        <v>1.25</v>
      </c>
      <c r="D2">
        <f t="shared" si="0"/>
        <v>0</v>
      </c>
      <c r="E2">
        <f t="shared" si="0"/>
        <v>0.59</v>
      </c>
      <c r="F2">
        <f t="shared" si="0"/>
        <v>0.89</v>
      </c>
      <c r="G2" t="b">
        <v>1</v>
      </c>
      <c r="H2">
        <v>3005</v>
      </c>
      <c r="I2">
        <f>INDEX([1]单位特点规划!D$2:D$36,MATCH($H2,[1]单位特点规划!$A$2:$A$36,0))/10000</f>
        <v>1.25</v>
      </c>
      <c r="J2">
        <f>INDEX([1]单位特点规划!E$2:E$36,MATCH($H2,[1]单位特点规划!$A$2:$A$36,0))/10000</f>
        <v>0</v>
      </c>
      <c r="K2">
        <f>INDEX([1]单位特点规划!F$2:F$36,MATCH($H2,[1]单位特点规划!$A$2:$A$36,0))/10000</f>
        <v>0.59</v>
      </c>
      <c r="L2">
        <f>INDEX([1]单位特点规划!G$2:G$36,MATCH($H2,[1]单位特点规划!$A$2:$A$36,0))/10000</f>
        <v>0.89</v>
      </c>
    </row>
    <row r="3" ht="14.25" spans="1:12">
      <c r="A3" s="6">
        <v>10101</v>
      </c>
      <c r="B3" s="8" t="s">
        <v>252</v>
      </c>
      <c r="C3">
        <f t="shared" ref="C3:C34" si="1">I3</f>
        <v>0.22</v>
      </c>
      <c r="D3">
        <f t="shared" ref="D3:D34" si="2">J3</f>
        <v>0.45</v>
      </c>
      <c r="E3">
        <f t="shared" ref="E3:E34" si="3">K3</f>
        <v>0.45</v>
      </c>
      <c r="F3">
        <f t="shared" ref="F3:F34" si="4">L3</f>
        <v>0.32</v>
      </c>
      <c r="G3" t="b">
        <v>0</v>
      </c>
      <c r="H3">
        <f t="array" ref="H3">INDEX([1]单位特点规划!$A$2:$A$37,MATCH(B3,[1]单位特点规划!$B$2:$B$37,0))</f>
        <v>4001</v>
      </c>
      <c r="I3">
        <f>INDEX([1]单位特点规划!D$2:D$36,MATCH($H3,[1]单位特点规划!$A$2:$A$36,0))/10000</f>
        <v>0.22</v>
      </c>
      <c r="J3">
        <f>INDEX([1]单位特点规划!E$2:E$36,MATCH($H3,[1]单位特点规划!$A$2:$A$36,0))/10000</f>
        <v>0.45</v>
      </c>
      <c r="K3">
        <f>INDEX([1]单位特点规划!F$2:F$36,MATCH($H3,[1]单位特点规划!$A$2:$A$36,0))/10000</f>
        <v>0.45</v>
      </c>
      <c r="L3">
        <f>INDEX([1]单位特点规划!G$2:G$36,MATCH($H3,[1]单位特点规划!$A$2:$A$36,0))/10000</f>
        <v>0.32</v>
      </c>
    </row>
    <row r="4" spans="1:12">
      <c r="A4" s="6">
        <v>10102</v>
      </c>
      <c r="B4" s="7" t="s">
        <v>253</v>
      </c>
      <c r="C4">
        <f t="shared" si="1"/>
        <v>0.975</v>
      </c>
      <c r="D4">
        <f t="shared" si="2"/>
        <v>0</v>
      </c>
      <c r="E4">
        <f t="shared" si="3"/>
        <v>0.56</v>
      </c>
      <c r="F4">
        <f t="shared" si="4"/>
        <v>1.05</v>
      </c>
      <c r="G4" t="b">
        <v>0</v>
      </c>
      <c r="H4">
        <f t="array" ref="H4">INDEX([1]单位特点规划!$A$2:$A$37,MATCH(B4,[1]单位特点规划!$B$2:$B$37,0))</f>
        <v>1009</v>
      </c>
      <c r="I4">
        <f>INDEX([1]单位特点规划!D$2:D$36,MATCH($H4,[1]单位特点规划!$A$2:$A$36,0))/10000</f>
        <v>0.975</v>
      </c>
      <c r="J4">
        <f>INDEX([1]单位特点规划!E$2:E$36,MATCH($H4,[1]单位特点规划!$A$2:$A$36,0))/10000</f>
        <v>0</v>
      </c>
      <c r="K4">
        <f>INDEX([1]单位特点规划!F$2:F$36,MATCH($H4,[1]单位特点规划!$A$2:$A$36,0))/10000</f>
        <v>0.56</v>
      </c>
      <c r="L4">
        <f>INDEX([1]单位特点规划!G$2:G$36,MATCH($H4,[1]单位特点规划!$A$2:$A$36,0))/10000</f>
        <v>1.05</v>
      </c>
    </row>
    <row r="5" spans="1:12">
      <c r="A5" s="6">
        <v>10103</v>
      </c>
      <c r="B5" s="7" t="s">
        <v>254</v>
      </c>
      <c r="C5">
        <f t="shared" si="1"/>
        <v>0.84</v>
      </c>
      <c r="D5">
        <f t="shared" si="2"/>
        <v>0</v>
      </c>
      <c r="E5">
        <f t="shared" si="3"/>
        <v>1.24</v>
      </c>
      <c r="F5">
        <f t="shared" si="4"/>
        <v>1.5</v>
      </c>
      <c r="G5" t="b">
        <v>0</v>
      </c>
      <c r="H5">
        <f t="array" ref="H5">INDEX([1]单位特点规划!$A$2:$A$37,MATCH(B5,[1]单位特点规划!$B$2:$B$37,0))</f>
        <v>1005</v>
      </c>
      <c r="I5">
        <f>INDEX([1]单位特点规划!D$2:D$36,MATCH($H5,[1]单位特点规划!$A$2:$A$36,0))/10000</f>
        <v>0.84</v>
      </c>
      <c r="J5">
        <f>INDEX([1]单位特点规划!E$2:E$36,MATCH($H5,[1]单位特点规划!$A$2:$A$36,0))/10000</f>
        <v>0</v>
      </c>
      <c r="K5">
        <f>INDEX([1]单位特点规划!F$2:F$36,MATCH($H5,[1]单位特点规划!$A$2:$A$36,0))/10000</f>
        <v>1.24</v>
      </c>
      <c r="L5">
        <f>INDEX([1]单位特点规划!G$2:G$36,MATCH($H5,[1]单位特点规划!$A$2:$A$36,0))/10000</f>
        <v>1.5</v>
      </c>
    </row>
    <row r="6" spans="1:12">
      <c r="A6" s="6">
        <v>10104</v>
      </c>
      <c r="B6" s="7" t="s">
        <v>255</v>
      </c>
      <c r="C6">
        <f t="shared" si="1"/>
        <v>0.9</v>
      </c>
      <c r="D6">
        <f t="shared" si="2"/>
        <v>0</v>
      </c>
      <c r="E6">
        <f t="shared" si="3"/>
        <v>1</v>
      </c>
      <c r="F6">
        <f t="shared" si="4"/>
        <v>1</v>
      </c>
      <c r="G6" t="b">
        <v>0</v>
      </c>
      <c r="H6">
        <f t="array" ref="H6">INDEX([1]单位特点规划!$A$2:$A$37,MATCH(B6,[1]单位特点规划!$B$2:$B$37,0))</f>
        <v>1003</v>
      </c>
      <c r="I6">
        <f>INDEX([1]单位特点规划!D$2:D$36,MATCH($H6,[1]单位特点规划!$A$2:$A$36,0))/10000</f>
        <v>0.9</v>
      </c>
      <c r="J6">
        <f>INDEX([1]单位特点规划!E$2:E$36,MATCH($H6,[1]单位特点规划!$A$2:$A$36,0))/10000</f>
        <v>0</v>
      </c>
      <c r="K6">
        <f>INDEX([1]单位特点规划!F$2:F$36,MATCH($H6,[1]单位特点规划!$A$2:$A$36,0))/10000</f>
        <v>1</v>
      </c>
      <c r="L6">
        <f>INDEX([1]单位特点规划!G$2:G$36,MATCH($H6,[1]单位特点规划!$A$2:$A$36,0))/10000</f>
        <v>1</v>
      </c>
    </row>
    <row r="7" spans="1:12">
      <c r="A7" s="6">
        <v>10105</v>
      </c>
      <c r="B7" s="7" t="s">
        <v>256</v>
      </c>
      <c r="C7">
        <f t="shared" si="1"/>
        <v>2</v>
      </c>
      <c r="D7">
        <f t="shared" si="2"/>
        <v>0</v>
      </c>
      <c r="E7">
        <f t="shared" si="3"/>
        <v>1.51</v>
      </c>
      <c r="F7">
        <f t="shared" si="4"/>
        <v>1.93</v>
      </c>
      <c r="G7" t="b">
        <v>0</v>
      </c>
      <c r="H7">
        <f t="array" ref="H7">INDEX([1]单位特点规划!$A$2:$A$37,MATCH(B7,[1]单位特点规划!$B$2:$B$37,0))</f>
        <v>1004</v>
      </c>
      <c r="I7">
        <f>INDEX([1]单位特点规划!D$2:D$36,MATCH($H7,[1]单位特点规划!$A$2:$A$36,0))/10000</f>
        <v>2</v>
      </c>
      <c r="J7">
        <f>INDEX([1]单位特点规划!E$2:E$36,MATCH($H7,[1]单位特点规划!$A$2:$A$36,0))/10000</f>
        <v>0</v>
      </c>
      <c r="K7">
        <f>INDEX([1]单位特点规划!F$2:F$36,MATCH($H7,[1]单位特点规划!$A$2:$A$36,0))/10000</f>
        <v>1.51</v>
      </c>
      <c r="L7">
        <f>INDEX([1]单位特点规划!G$2:G$36,MATCH($H7,[1]单位特点规划!$A$2:$A$36,0))/10000</f>
        <v>1.93</v>
      </c>
    </row>
    <row r="8" spans="1:12">
      <c r="A8" s="6">
        <v>10106</v>
      </c>
      <c r="B8" s="7" t="s">
        <v>257</v>
      </c>
      <c r="C8">
        <f t="shared" si="1"/>
        <v>1.22</v>
      </c>
      <c r="D8">
        <f t="shared" si="2"/>
        <v>0</v>
      </c>
      <c r="E8">
        <f t="shared" si="3"/>
        <v>1.5</v>
      </c>
      <c r="F8">
        <f t="shared" si="4"/>
        <v>1.1</v>
      </c>
      <c r="G8" t="b">
        <v>0</v>
      </c>
      <c r="H8">
        <f t="array" ref="H8">INDEX([1]单位特点规划!$A$2:$A$37,MATCH(B8,[1]单位特点规划!$B$2:$B$37,0))</f>
        <v>1008</v>
      </c>
      <c r="I8">
        <f>INDEX([1]单位特点规划!D$2:D$36,MATCH($H8,[1]单位特点规划!$A$2:$A$36,0))/10000</f>
        <v>1.22</v>
      </c>
      <c r="J8">
        <f>INDEX([1]单位特点规划!E$2:E$36,MATCH($H8,[1]单位特点规划!$A$2:$A$36,0))/10000</f>
        <v>0</v>
      </c>
      <c r="K8">
        <f>INDEX([1]单位特点规划!F$2:F$36,MATCH($H8,[1]单位特点规划!$A$2:$A$36,0))/10000</f>
        <v>1.5</v>
      </c>
      <c r="L8">
        <f>INDEX([1]单位特点规划!G$2:G$36,MATCH($H8,[1]单位特点规划!$A$2:$A$36,0))/10000</f>
        <v>1.1</v>
      </c>
    </row>
    <row r="9" spans="1:12">
      <c r="A9" s="6">
        <v>10107</v>
      </c>
      <c r="B9" s="7" t="s">
        <v>258</v>
      </c>
      <c r="C9">
        <f t="shared" si="1"/>
        <v>1.53</v>
      </c>
      <c r="D9">
        <f t="shared" si="2"/>
        <v>0</v>
      </c>
      <c r="E9">
        <f t="shared" si="3"/>
        <v>1.35</v>
      </c>
      <c r="F9">
        <f t="shared" si="4"/>
        <v>1.87</v>
      </c>
      <c r="G9" t="b">
        <v>0</v>
      </c>
      <c r="H9">
        <f t="array" ref="H9">INDEX([1]单位特点规划!$A$2:$A$37,MATCH(B9,[1]单位特点规划!$B$2:$B$37,0))</f>
        <v>1007</v>
      </c>
      <c r="I9">
        <f>INDEX([1]单位特点规划!D$2:D$36,MATCH($H9,[1]单位特点规划!$A$2:$A$36,0))/10000</f>
        <v>1.53</v>
      </c>
      <c r="J9">
        <f>INDEX([1]单位特点规划!E$2:E$36,MATCH($H9,[1]单位特点规划!$A$2:$A$36,0))/10000</f>
        <v>0</v>
      </c>
      <c r="K9">
        <f>INDEX([1]单位特点规划!F$2:F$36,MATCH($H9,[1]单位特点规划!$A$2:$A$36,0))/10000</f>
        <v>1.35</v>
      </c>
      <c r="L9">
        <f>INDEX([1]单位特点规划!G$2:G$36,MATCH($H9,[1]单位特点规划!$A$2:$A$36,0))/10000</f>
        <v>1.87</v>
      </c>
    </row>
    <row r="10" spans="1:12">
      <c r="A10" s="6">
        <v>10108</v>
      </c>
      <c r="B10" s="7" t="s">
        <v>259</v>
      </c>
      <c r="C10">
        <f t="shared" si="1"/>
        <v>1.66</v>
      </c>
      <c r="D10">
        <f t="shared" si="2"/>
        <v>0</v>
      </c>
      <c r="E10">
        <f t="shared" si="3"/>
        <v>1.57</v>
      </c>
      <c r="F10">
        <f t="shared" si="4"/>
        <v>1.85</v>
      </c>
      <c r="G10" t="b">
        <v>0</v>
      </c>
      <c r="H10">
        <f t="array" ref="H10">INDEX([1]单位特点规划!$A$2:$A$37,MATCH(B10,[1]单位特点规划!$B$2:$B$37,0))</f>
        <v>1001</v>
      </c>
      <c r="I10">
        <f>INDEX([1]单位特点规划!D$2:D$36,MATCH($H10,[1]单位特点规划!$A$2:$A$36,0))/10000</f>
        <v>1.66</v>
      </c>
      <c r="J10">
        <f>INDEX([1]单位特点规划!E$2:E$36,MATCH($H10,[1]单位特点规划!$A$2:$A$36,0))/10000</f>
        <v>0</v>
      </c>
      <c r="K10">
        <f>INDEX([1]单位特点规划!F$2:F$36,MATCH($H10,[1]单位特点规划!$A$2:$A$36,0))/10000</f>
        <v>1.57</v>
      </c>
      <c r="L10">
        <f>INDEX([1]单位特点规划!G$2:G$36,MATCH($H10,[1]单位特点规划!$A$2:$A$36,0))/10000</f>
        <v>1.85</v>
      </c>
    </row>
    <row r="11" spans="1:12">
      <c r="A11" s="6">
        <v>10109</v>
      </c>
      <c r="B11" s="7" t="s">
        <v>260</v>
      </c>
      <c r="C11">
        <f t="shared" si="1"/>
        <v>1.51</v>
      </c>
      <c r="D11">
        <f t="shared" si="2"/>
        <v>0.75</v>
      </c>
      <c r="E11">
        <f t="shared" si="3"/>
        <v>2.83</v>
      </c>
      <c r="F11">
        <f t="shared" si="4"/>
        <v>1.29</v>
      </c>
      <c r="G11" t="b">
        <v>0</v>
      </c>
      <c r="H11">
        <f t="array" ref="H11">INDEX([1]单位特点规划!$A$2:$A$37,MATCH(B11,[1]单位特点规划!$B$2:$B$37,0))</f>
        <v>1002</v>
      </c>
      <c r="I11">
        <f>INDEX([1]单位特点规划!D$2:D$36,MATCH($H11,[1]单位特点规划!$A$2:$A$36,0))/10000</f>
        <v>1.51</v>
      </c>
      <c r="J11">
        <f>INDEX([1]单位特点规划!E$2:E$36,MATCH($H11,[1]单位特点规划!$A$2:$A$36,0))/10000</f>
        <v>0.75</v>
      </c>
      <c r="K11">
        <f>INDEX([1]单位特点规划!F$2:F$36,MATCH($H11,[1]单位特点规划!$A$2:$A$36,0))/10000</f>
        <v>2.83</v>
      </c>
      <c r="L11">
        <f>INDEX([1]单位特点规划!G$2:G$36,MATCH($H11,[1]单位特点规划!$A$2:$A$36,0))/10000</f>
        <v>1.29</v>
      </c>
    </row>
    <row r="12" spans="1:12">
      <c r="A12" s="6">
        <v>10110</v>
      </c>
      <c r="B12" s="9" t="s">
        <v>141</v>
      </c>
      <c r="C12">
        <f t="shared" si="1"/>
        <v>4.87</v>
      </c>
      <c r="D12">
        <f t="shared" si="2"/>
        <v>0</v>
      </c>
      <c r="E12">
        <f t="shared" si="3"/>
        <v>2.7</v>
      </c>
      <c r="F12">
        <f t="shared" si="4"/>
        <v>2.01</v>
      </c>
      <c r="G12" t="b">
        <v>0</v>
      </c>
      <c r="H12">
        <f t="array" ref="H12">INDEX([1]单位特点规划!$A$2:$A$37,MATCH(B12,[1]单位特点规划!$B$2:$B$37,0))</f>
        <v>1010</v>
      </c>
      <c r="I12">
        <f>INDEX([1]单位特点规划!D$2:D$36,MATCH($H12,[1]单位特点规划!$A$2:$A$36,0))/10000</f>
        <v>4.87</v>
      </c>
      <c r="J12">
        <f>INDEX([1]单位特点规划!E$2:E$36,MATCH($H12,[1]单位特点规划!$A$2:$A$36,0))/10000</f>
        <v>0</v>
      </c>
      <c r="K12">
        <f>INDEX([1]单位特点规划!F$2:F$36,MATCH($H12,[1]单位特点规划!$A$2:$A$36,0))/10000</f>
        <v>2.7</v>
      </c>
      <c r="L12">
        <f>INDEX([1]单位特点规划!G$2:G$36,MATCH($H12,[1]单位特点规划!$A$2:$A$36,0))/10000</f>
        <v>2.01</v>
      </c>
    </row>
    <row r="13" spans="1:12">
      <c r="A13" s="6">
        <v>10111</v>
      </c>
      <c r="B13" s="9" t="s">
        <v>261</v>
      </c>
      <c r="C13">
        <f t="shared" si="1"/>
        <v>1.73</v>
      </c>
      <c r="D13">
        <f t="shared" si="2"/>
        <v>1.903</v>
      </c>
      <c r="E13">
        <f t="shared" si="3"/>
        <v>3.62</v>
      </c>
      <c r="F13">
        <f t="shared" si="4"/>
        <v>3.03</v>
      </c>
      <c r="G13" t="b">
        <v>0</v>
      </c>
      <c r="H13">
        <f t="array" ref="H13">INDEX([1]单位特点规划!$A$2:$A$37,MATCH(B13,[1]单位特点规划!$B$2:$B$37,0))</f>
        <v>1011</v>
      </c>
      <c r="I13">
        <f>INDEX([1]单位特点规划!D$2:D$36,MATCH($H13,[1]单位特点规划!$A$2:$A$36,0))/10000</f>
        <v>1.73</v>
      </c>
      <c r="J13">
        <f>INDEX([1]单位特点规划!E$2:E$36,MATCH($H13,[1]单位特点规划!$A$2:$A$36,0))/10000</f>
        <v>1.903</v>
      </c>
      <c r="K13">
        <f>INDEX([1]单位特点规划!F$2:F$36,MATCH($H13,[1]单位特点规划!$A$2:$A$36,0))/10000</f>
        <v>3.62</v>
      </c>
      <c r="L13">
        <f>INDEX([1]单位特点规划!G$2:G$36,MATCH($H13,[1]单位特点规划!$A$2:$A$36,0))/10000</f>
        <v>3.03</v>
      </c>
    </row>
    <row r="14" spans="1:12">
      <c r="A14" s="6">
        <v>10112</v>
      </c>
      <c r="B14" s="9" t="s">
        <v>262</v>
      </c>
      <c r="C14">
        <f t="shared" si="1"/>
        <v>0.51</v>
      </c>
      <c r="D14">
        <f t="shared" si="2"/>
        <v>0</v>
      </c>
      <c r="E14">
        <f t="shared" si="3"/>
        <v>1.07</v>
      </c>
      <c r="F14">
        <f t="shared" si="4"/>
        <v>0.19</v>
      </c>
      <c r="G14" t="b">
        <v>0</v>
      </c>
      <c r="H14">
        <f t="array" ref="H14">INDEX([1]单位特点规划!$A$2:$A$37,MATCH(B14,[1]单位特点规划!$B$2:$B$37,0))</f>
        <v>2007</v>
      </c>
      <c r="I14">
        <f>INDEX([1]单位特点规划!D$2:D$36,MATCH($H14,[1]单位特点规划!$A$2:$A$36,0))/10000</f>
        <v>0.51</v>
      </c>
      <c r="J14">
        <f>INDEX([1]单位特点规划!E$2:E$36,MATCH($H14,[1]单位特点规划!$A$2:$A$36,0))/10000</f>
        <v>0</v>
      </c>
      <c r="K14">
        <f>INDEX([1]单位特点规划!F$2:F$36,MATCH($H14,[1]单位特点规划!$A$2:$A$36,0))/10000</f>
        <v>1.07</v>
      </c>
      <c r="L14">
        <f>INDEX([1]单位特点规划!G$2:G$36,MATCH($H14,[1]单位特点规划!$A$2:$A$36,0))/10000</f>
        <v>0.19</v>
      </c>
    </row>
    <row r="15" spans="1:12">
      <c r="A15" s="6">
        <v>10113</v>
      </c>
      <c r="B15" s="9" t="s">
        <v>263</v>
      </c>
      <c r="C15">
        <f t="shared" si="1"/>
        <v>0.23</v>
      </c>
      <c r="D15">
        <f t="shared" si="2"/>
        <v>0.3</v>
      </c>
      <c r="E15">
        <f t="shared" si="3"/>
        <v>0.79</v>
      </c>
      <c r="F15">
        <f t="shared" si="4"/>
        <v>0.9</v>
      </c>
      <c r="G15" t="b">
        <v>0</v>
      </c>
      <c r="H15">
        <f t="array" ref="H15">INDEX([1]单位特点规划!$A$2:$A$37,MATCH(B15,[1]单位特点规划!$B$2:$B$37,0))</f>
        <v>2009</v>
      </c>
      <c r="I15">
        <f>INDEX([1]单位特点规划!D$2:D$36,MATCH($H15,[1]单位特点规划!$A$2:$A$36,0))/10000</f>
        <v>0.23</v>
      </c>
      <c r="J15">
        <f>INDEX([1]单位特点规划!E$2:E$36,MATCH($H15,[1]单位特点规划!$A$2:$A$36,0))/10000</f>
        <v>0.3</v>
      </c>
      <c r="K15">
        <f>INDEX([1]单位特点规划!F$2:F$36,MATCH($H15,[1]单位特点规划!$A$2:$A$36,0))/10000</f>
        <v>0.79</v>
      </c>
      <c r="L15">
        <f>INDEX([1]单位特点规划!G$2:G$36,MATCH($H15,[1]单位特点规划!$A$2:$A$36,0))/10000</f>
        <v>0.9</v>
      </c>
    </row>
    <row r="16" spans="1:12">
      <c r="A16" s="6">
        <v>10114</v>
      </c>
      <c r="B16" s="7" t="s">
        <v>264</v>
      </c>
      <c r="C16">
        <f t="shared" si="1"/>
        <v>0.7</v>
      </c>
      <c r="D16">
        <f t="shared" si="2"/>
        <v>0</v>
      </c>
      <c r="E16">
        <f t="shared" si="3"/>
        <v>1.1</v>
      </c>
      <c r="F16">
        <f t="shared" si="4"/>
        <v>0.54</v>
      </c>
      <c r="G16" t="b">
        <v>0</v>
      </c>
      <c r="H16">
        <f t="array" ref="H16">INDEX([1]单位特点规划!$A$2:$A$37,MATCH(B16,[1]单位特点规划!$B$2:$B$37,0))</f>
        <v>2005</v>
      </c>
      <c r="I16">
        <f>INDEX([1]单位特点规划!D$2:D$36,MATCH($H16,[1]单位特点规划!$A$2:$A$36,0))/10000</f>
        <v>0.7</v>
      </c>
      <c r="J16">
        <f>INDEX([1]单位特点规划!E$2:E$36,MATCH($H16,[1]单位特点规划!$A$2:$A$36,0))/10000</f>
        <v>0</v>
      </c>
      <c r="K16">
        <f>INDEX([1]单位特点规划!F$2:F$36,MATCH($H16,[1]单位特点规划!$A$2:$A$36,0))/10000</f>
        <v>1.1</v>
      </c>
      <c r="L16">
        <f>INDEX([1]单位特点规划!G$2:G$36,MATCH($H16,[1]单位特点规划!$A$2:$A$36,0))/10000</f>
        <v>0.54</v>
      </c>
    </row>
    <row r="17" spans="1:12">
      <c r="A17" s="6">
        <v>10115</v>
      </c>
      <c r="B17" s="9" t="s">
        <v>265</v>
      </c>
      <c r="C17">
        <f t="shared" si="1"/>
        <v>1.15</v>
      </c>
      <c r="D17">
        <f t="shared" si="2"/>
        <v>0</v>
      </c>
      <c r="E17">
        <f t="shared" si="3"/>
        <v>0.18</v>
      </c>
      <c r="F17">
        <f t="shared" si="4"/>
        <v>0.15</v>
      </c>
      <c r="G17" t="b">
        <v>0</v>
      </c>
      <c r="H17">
        <f t="array" ref="H17">INDEX([1]单位特点规划!$A$2:$A$37,MATCH(B17,[1]单位特点规划!$B$2:$B$37,0))</f>
        <v>2003</v>
      </c>
      <c r="I17">
        <f>INDEX([1]单位特点规划!D$2:D$36,MATCH($H17,[1]单位特点规划!$A$2:$A$36,0))/10000</f>
        <v>1.15</v>
      </c>
      <c r="J17">
        <f>INDEX([1]单位特点规划!E$2:E$36,MATCH($H17,[1]单位特点规划!$A$2:$A$36,0))/10000</f>
        <v>0</v>
      </c>
      <c r="K17">
        <f>INDEX([1]单位特点规划!F$2:F$36,MATCH($H17,[1]单位特点规划!$A$2:$A$36,0))/10000</f>
        <v>0.18</v>
      </c>
      <c r="L17">
        <f>INDEX([1]单位特点规划!G$2:G$36,MATCH($H17,[1]单位特点规划!$A$2:$A$36,0))/10000</f>
        <v>0.15</v>
      </c>
    </row>
    <row r="18" spans="1:12">
      <c r="A18" s="6">
        <v>10116</v>
      </c>
      <c r="B18" s="9" t="s">
        <v>147</v>
      </c>
      <c r="C18">
        <f t="shared" si="1"/>
        <v>4.27</v>
      </c>
      <c r="D18">
        <f t="shared" si="2"/>
        <v>0</v>
      </c>
      <c r="E18">
        <f t="shared" si="3"/>
        <v>2.28</v>
      </c>
      <c r="F18">
        <f t="shared" si="4"/>
        <v>1.29</v>
      </c>
      <c r="G18" t="b">
        <v>0</v>
      </c>
      <c r="H18">
        <f t="array" ref="H18">INDEX([1]单位特点规划!$A$2:$A$37,MATCH(B18,[1]单位特点规划!$B$2:$B$37,0))</f>
        <v>2010</v>
      </c>
      <c r="I18">
        <f>INDEX([1]单位特点规划!D$2:D$36,MATCH($H18,[1]单位特点规划!$A$2:$A$36,0))/10000</f>
        <v>4.27</v>
      </c>
      <c r="J18">
        <f>INDEX([1]单位特点规划!E$2:E$36,MATCH($H18,[1]单位特点规划!$A$2:$A$36,0))/10000</f>
        <v>0</v>
      </c>
      <c r="K18">
        <f>INDEX([1]单位特点规划!F$2:F$36,MATCH($H18,[1]单位特点规划!$A$2:$A$36,0))/10000</f>
        <v>2.28</v>
      </c>
      <c r="L18">
        <f>INDEX([1]单位特点规划!G$2:G$36,MATCH($H18,[1]单位特点规划!$A$2:$A$36,0))/10000</f>
        <v>1.29</v>
      </c>
    </row>
    <row r="19" spans="1:12">
      <c r="A19" s="6">
        <v>10117</v>
      </c>
      <c r="B19" s="7" t="s">
        <v>152</v>
      </c>
      <c r="C19">
        <f t="shared" si="1"/>
        <v>6.5</v>
      </c>
      <c r="D19">
        <f t="shared" si="2"/>
        <v>0</v>
      </c>
      <c r="E19">
        <f t="shared" si="3"/>
        <v>1.88</v>
      </c>
      <c r="F19">
        <f t="shared" si="4"/>
        <v>1.01</v>
      </c>
      <c r="G19" t="b">
        <v>0</v>
      </c>
      <c r="H19">
        <f t="array" ref="H19">INDEX([1]单位特点规划!$A$2:$A$37,MATCH(B19,[1]单位特点规划!$B$2:$B$37,0))</f>
        <v>2006</v>
      </c>
      <c r="I19">
        <f>INDEX([1]单位特点规划!D$2:D$36,MATCH($H19,[1]单位特点规划!$A$2:$A$36,0))/10000</f>
        <v>6.5</v>
      </c>
      <c r="J19">
        <f>INDEX([1]单位特点规划!E$2:E$36,MATCH($H19,[1]单位特点规划!$A$2:$A$36,0))/10000</f>
        <v>0</v>
      </c>
      <c r="K19">
        <f>INDEX([1]单位特点规划!F$2:F$36,MATCH($H19,[1]单位特点规划!$A$2:$A$36,0))/10000</f>
        <v>1.88</v>
      </c>
      <c r="L19">
        <f>INDEX([1]单位特点规划!G$2:G$36,MATCH($H19,[1]单位特点规划!$A$2:$A$36,0))/10000</f>
        <v>1.01</v>
      </c>
    </row>
    <row r="20" spans="1:12">
      <c r="A20" s="6">
        <v>10118</v>
      </c>
      <c r="B20" s="7" t="s">
        <v>266</v>
      </c>
      <c r="C20">
        <f t="shared" si="1"/>
        <v>1.42</v>
      </c>
      <c r="D20">
        <f t="shared" si="2"/>
        <v>1.42</v>
      </c>
      <c r="E20">
        <f t="shared" si="3"/>
        <v>2.12</v>
      </c>
      <c r="F20">
        <f t="shared" si="4"/>
        <v>0.37</v>
      </c>
      <c r="G20" t="b">
        <v>0</v>
      </c>
      <c r="H20">
        <f t="array" ref="H20">INDEX([1]单位特点规划!$A$2:$A$37,MATCH(B20,[1]单位特点规划!$B$2:$B$37,0))</f>
        <v>2004</v>
      </c>
      <c r="I20">
        <f>INDEX([1]单位特点规划!D$2:D$36,MATCH($H20,[1]单位特点规划!$A$2:$A$36,0))/10000</f>
        <v>1.42</v>
      </c>
      <c r="J20">
        <f>INDEX([1]单位特点规划!E$2:E$36,MATCH($H20,[1]单位特点规划!$A$2:$A$36,0))/10000</f>
        <v>1.42</v>
      </c>
      <c r="K20">
        <f>INDEX([1]单位特点规划!F$2:F$36,MATCH($H20,[1]单位特点规划!$A$2:$A$36,0))/10000</f>
        <v>2.12</v>
      </c>
      <c r="L20">
        <f>INDEX([1]单位特点规划!G$2:G$36,MATCH($H20,[1]单位特点规划!$A$2:$A$36,0))/10000</f>
        <v>0.37</v>
      </c>
    </row>
    <row r="21" spans="1:12">
      <c r="A21" s="6">
        <v>10119</v>
      </c>
      <c r="B21" s="9" t="s">
        <v>267</v>
      </c>
      <c r="C21">
        <f t="shared" si="1"/>
        <v>0.6</v>
      </c>
      <c r="D21">
        <f t="shared" si="2"/>
        <v>0.45</v>
      </c>
      <c r="E21">
        <f t="shared" si="3"/>
        <v>2.72</v>
      </c>
      <c r="F21">
        <f t="shared" si="4"/>
        <v>1.41</v>
      </c>
      <c r="G21" t="b">
        <v>0</v>
      </c>
      <c r="H21">
        <f t="array" ref="H21">INDEX([1]单位特点规划!$A$2:$A$37,MATCH(B21,[1]单位特点规划!$B$2:$B$37,0))</f>
        <v>2008</v>
      </c>
      <c r="I21">
        <f>INDEX([1]单位特点规划!D$2:D$36,MATCH($H21,[1]单位特点规划!$A$2:$A$36,0))/10000</f>
        <v>0.6</v>
      </c>
      <c r="J21">
        <f>INDEX([1]单位特点规划!E$2:E$36,MATCH($H21,[1]单位特点规划!$A$2:$A$36,0))/10000</f>
        <v>0.45</v>
      </c>
      <c r="K21">
        <f>INDEX([1]单位特点规划!F$2:F$36,MATCH($H21,[1]单位特点规划!$A$2:$A$36,0))/10000</f>
        <v>2.72</v>
      </c>
      <c r="L21">
        <f>INDEX([1]单位特点规划!G$2:G$36,MATCH($H21,[1]单位特点规划!$A$2:$A$36,0))/10000</f>
        <v>1.41</v>
      </c>
    </row>
    <row r="22" spans="1:12">
      <c r="A22" s="6">
        <v>10120</v>
      </c>
      <c r="B22" s="7" t="s">
        <v>268</v>
      </c>
      <c r="C22">
        <f t="shared" si="1"/>
        <v>0.93</v>
      </c>
      <c r="D22">
        <f t="shared" si="2"/>
        <v>0</v>
      </c>
      <c r="E22">
        <f t="shared" si="3"/>
        <v>0.76</v>
      </c>
      <c r="F22">
        <f t="shared" si="4"/>
        <v>0.53</v>
      </c>
      <c r="G22" t="b">
        <v>0</v>
      </c>
      <c r="H22">
        <f t="array" ref="H22">INDEX([1]单位特点规划!$A$2:$A$37,MATCH(B22,[1]单位特点规划!$B$2:$B$37,0))</f>
        <v>2001</v>
      </c>
      <c r="I22">
        <f>INDEX([1]单位特点规划!D$2:D$36,MATCH($H22,[1]单位特点规划!$A$2:$A$36,0))/10000</f>
        <v>0.93</v>
      </c>
      <c r="J22">
        <f>INDEX([1]单位特点规划!E$2:E$36,MATCH($H22,[1]单位特点规划!$A$2:$A$36,0))/10000</f>
        <v>0</v>
      </c>
      <c r="K22">
        <f>INDEX([1]单位特点规划!F$2:F$36,MATCH($H22,[1]单位特点规划!$A$2:$A$36,0))/10000</f>
        <v>0.76</v>
      </c>
      <c r="L22">
        <f>INDEX([1]单位特点规划!G$2:G$36,MATCH($H22,[1]单位特点规划!$A$2:$A$36,0))/10000</f>
        <v>0.53</v>
      </c>
    </row>
    <row r="23" spans="1:12">
      <c r="A23" s="6">
        <v>10121</v>
      </c>
      <c r="B23" s="7" t="s">
        <v>173</v>
      </c>
      <c r="C23">
        <f t="shared" si="1"/>
        <v>0.56</v>
      </c>
      <c r="D23">
        <f t="shared" si="2"/>
        <v>0.72</v>
      </c>
      <c r="E23">
        <f t="shared" si="3"/>
        <v>0.68</v>
      </c>
      <c r="F23">
        <f t="shared" si="4"/>
        <v>0.53</v>
      </c>
      <c r="G23" t="b">
        <v>1</v>
      </c>
      <c r="H23">
        <f t="array" ref="H23">INDEX([1]单位特点规划!$A$2:$A$37,MATCH(B23,[1]单位特点规划!$B$2:$B$37,0))</f>
        <v>3003</v>
      </c>
      <c r="I23">
        <f>INDEX([1]单位特点规划!D$2:D$36,MATCH($H23,[1]单位特点规划!$A$2:$A$36,0))/10000</f>
        <v>0.56</v>
      </c>
      <c r="J23">
        <f>INDEX([1]单位特点规划!E$2:E$36,MATCH($H23,[1]单位特点规划!$A$2:$A$36,0))/10000</f>
        <v>0.72</v>
      </c>
      <c r="K23">
        <f>INDEX([1]单位特点规划!F$2:F$36,MATCH($H23,[1]单位特点规划!$A$2:$A$36,0))/10000</f>
        <v>0.68</v>
      </c>
      <c r="L23">
        <f>INDEX([1]单位特点规划!G$2:G$36,MATCH($H23,[1]单位特点规划!$A$2:$A$36,0))/10000</f>
        <v>0.53</v>
      </c>
    </row>
    <row r="24" spans="1:12">
      <c r="A24" s="6">
        <v>10122</v>
      </c>
      <c r="B24" s="9" t="s">
        <v>269</v>
      </c>
      <c r="C24">
        <f t="shared" si="1"/>
        <v>0.59</v>
      </c>
      <c r="D24">
        <f t="shared" si="2"/>
        <v>0</v>
      </c>
      <c r="E24">
        <f t="shared" si="3"/>
        <v>1.19</v>
      </c>
      <c r="F24">
        <f t="shared" si="4"/>
        <v>0.32</v>
      </c>
      <c r="G24" t="b">
        <v>1</v>
      </c>
      <c r="H24">
        <f t="array" ref="H24">INDEX([1]单位特点规划!$A$2:$A$37,MATCH(B24,[1]单位特点规划!$B$2:$B$37,0))</f>
        <v>3001</v>
      </c>
      <c r="I24">
        <f>INDEX([1]单位特点规划!D$2:D$36,MATCH($H24,[1]单位特点规划!$A$2:$A$36,0))/10000</f>
        <v>0.59</v>
      </c>
      <c r="J24">
        <f>INDEX([1]单位特点规划!E$2:E$36,MATCH($H24,[1]单位特点规划!$A$2:$A$36,0))/10000</f>
        <v>0</v>
      </c>
      <c r="K24">
        <f>INDEX([1]单位特点规划!F$2:F$36,MATCH($H24,[1]单位特点规划!$A$2:$A$36,0))/10000</f>
        <v>1.19</v>
      </c>
      <c r="L24">
        <f>INDEX([1]单位特点规划!G$2:G$36,MATCH($H24,[1]单位特点规划!$A$2:$A$36,0))/10000</f>
        <v>0.32</v>
      </c>
    </row>
    <row r="25" spans="1:12">
      <c r="A25" s="6">
        <v>10123</v>
      </c>
      <c r="B25" s="9" t="s">
        <v>270</v>
      </c>
      <c r="C25">
        <f t="shared" si="1"/>
        <v>1.08</v>
      </c>
      <c r="D25">
        <f t="shared" si="2"/>
        <v>1.55</v>
      </c>
      <c r="E25">
        <f t="shared" si="3"/>
        <v>0.61</v>
      </c>
      <c r="F25">
        <f t="shared" si="4"/>
        <v>0.79</v>
      </c>
      <c r="G25" t="b">
        <v>1</v>
      </c>
      <c r="H25">
        <f t="array" ref="H25">INDEX([1]单位特点规划!$A$2:$A$37,MATCH(B25,[1]单位特点规划!$B$2:$B$37,0))</f>
        <v>3004</v>
      </c>
      <c r="I25">
        <f>INDEX([1]单位特点规划!D$2:D$36,MATCH($H25,[1]单位特点规划!$A$2:$A$36,0))/10000</f>
        <v>1.08</v>
      </c>
      <c r="J25">
        <f>INDEX([1]单位特点规划!E$2:E$36,MATCH($H25,[1]单位特点规划!$A$2:$A$36,0))/10000</f>
        <v>1.55</v>
      </c>
      <c r="K25">
        <f>INDEX([1]单位特点规划!F$2:F$36,MATCH($H25,[1]单位特点规划!$A$2:$A$36,0))/10000</f>
        <v>0.61</v>
      </c>
      <c r="L25">
        <f>INDEX([1]单位特点规划!G$2:G$36,MATCH($H25,[1]单位特点规划!$A$2:$A$36,0))/10000</f>
        <v>0.79</v>
      </c>
    </row>
    <row r="26" spans="1:12">
      <c r="A26" s="6">
        <v>10124</v>
      </c>
      <c r="B26" s="7" t="s">
        <v>271</v>
      </c>
      <c r="C26">
        <f t="shared" si="1"/>
        <v>1.25</v>
      </c>
      <c r="D26">
        <f t="shared" si="2"/>
        <v>0</v>
      </c>
      <c r="E26">
        <f t="shared" si="3"/>
        <v>0.59</v>
      </c>
      <c r="F26">
        <f t="shared" si="4"/>
        <v>0.89</v>
      </c>
      <c r="G26" t="b">
        <v>1</v>
      </c>
      <c r="H26">
        <f t="array" ref="H26">INDEX([1]单位特点规划!$A$2:$A$37,MATCH(B26,[1]单位特点规划!$B$2:$B$37,0))</f>
        <v>3005</v>
      </c>
      <c r="I26">
        <f>INDEX([1]单位特点规划!D$2:D$36,MATCH($H26,[1]单位特点规划!$A$2:$A$36,0))/10000</f>
        <v>1.25</v>
      </c>
      <c r="J26">
        <f>INDEX([1]单位特点规划!E$2:E$36,MATCH($H26,[1]单位特点规划!$A$2:$A$36,0))/10000</f>
        <v>0</v>
      </c>
      <c r="K26">
        <f>INDEX([1]单位特点规划!F$2:F$36,MATCH($H26,[1]单位特点规划!$A$2:$A$36,0))/10000</f>
        <v>0.59</v>
      </c>
      <c r="L26">
        <f>INDEX([1]单位特点规划!G$2:G$36,MATCH($H26,[1]单位特点规划!$A$2:$A$36,0))/10000</f>
        <v>0.89</v>
      </c>
    </row>
    <row r="27" spans="1:12">
      <c r="A27" s="6">
        <v>10125</v>
      </c>
      <c r="B27" s="9" t="s">
        <v>272</v>
      </c>
      <c r="C27">
        <f t="shared" si="1"/>
        <v>0.7</v>
      </c>
      <c r="D27">
        <f t="shared" si="2"/>
        <v>0</v>
      </c>
      <c r="E27">
        <f t="shared" si="3"/>
        <v>1.23</v>
      </c>
      <c r="F27">
        <f t="shared" si="4"/>
        <v>0.81</v>
      </c>
      <c r="G27" t="b">
        <v>1</v>
      </c>
      <c r="H27">
        <f t="array" ref="H27">INDEX([1]单位特点规划!$A$2:$A$37,MATCH(B27,[1]单位特点规划!$B$2:$B$37,0))</f>
        <v>3006</v>
      </c>
      <c r="I27">
        <f>INDEX([1]单位特点规划!D$2:D$36,MATCH($H27,[1]单位特点规划!$A$2:$A$36,0))/10000</f>
        <v>0.7</v>
      </c>
      <c r="J27">
        <f>INDEX([1]单位特点规划!E$2:E$36,MATCH($H27,[1]单位特点规划!$A$2:$A$36,0))/10000</f>
        <v>0</v>
      </c>
      <c r="K27">
        <f>INDEX([1]单位特点规划!F$2:F$36,MATCH($H27,[1]单位特点规划!$A$2:$A$36,0))/10000</f>
        <v>1.23</v>
      </c>
      <c r="L27">
        <f>INDEX([1]单位特点规划!G$2:G$36,MATCH($H27,[1]单位特点规划!$A$2:$A$36,0))/10000</f>
        <v>0.81</v>
      </c>
    </row>
    <row r="28" spans="1:12">
      <c r="A28" s="6">
        <v>10126</v>
      </c>
      <c r="B28" s="7" t="s">
        <v>273</v>
      </c>
      <c r="C28">
        <f t="shared" si="1"/>
        <v>1.26</v>
      </c>
      <c r="D28">
        <f t="shared" si="2"/>
        <v>0</v>
      </c>
      <c r="E28">
        <f t="shared" si="3"/>
        <v>3.04</v>
      </c>
      <c r="F28">
        <f t="shared" si="4"/>
        <v>2.52</v>
      </c>
      <c r="G28" t="b">
        <v>1</v>
      </c>
      <c r="H28">
        <f t="array" ref="H28">INDEX([1]单位特点规划!$A$2:$A$37,MATCH(B28,[1]单位特点规划!$B$2:$B$37,0))</f>
        <v>3002</v>
      </c>
      <c r="I28">
        <f>INDEX([1]单位特点规划!D$2:D$36,MATCH($H28,[1]单位特点规划!$A$2:$A$36,0))/10000</f>
        <v>1.26</v>
      </c>
      <c r="J28">
        <f>INDEX([1]单位特点规划!E$2:E$36,MATCH($H28,[1]单位特点规划!$A$2:$A$36,0))/10000</f>
        <v>0</v>
      </c>
      <c r="K28">
        <f>INDEX([1]单位特点规划!F$2:F$36,MATCH($H28,[1]单位特点规划!$A$2:$A$36,0))/10000</f>
        <v>3.04</v>
      </c>
      <c r="L28">
        <f>INDEX([1]单位特点规划!G$2:G$36,MATCH($H28,[1]单位特点规划!$A$2:$A$36,0))/10000</f>
        <v>2.52</v>
      </c>
    </row>
    <row r="29" spans="1:12">
      <c r="A29" s="6">
        <v>10127</v>
      </c>
      <c r="B29" s="9" t="s">
        <v>274</v>
      </c>
      <c r="C29">
        <f t="shared" si="1"/>
        <v>2.26</v>
      </c>
      <c r="D29">
        <f t="shared" si="2"/>
        <v>1.86</v>
      </c>
      <c r="E29">
        <f t="shared" si="3"/>
        <v>3.59</v>
      </c>
      <c r="F29">
        <f t="shared" si="4"/>
        <v>1.23</v>
      </c>
      <c r="G29" t="b">
        <v>1</v>
      </c>
      <c r="H29">
        <f t="array" ref="H29">INDEX([1]单位特点规划!$A$2:$A$37,MATCH(B29,[1]单位特点规划!$B$2:$B$37,0))</f>
        <v>3007</v>
      </c>
      <c r="I29">
        <f>INDEX([1]单位特点规划!D$2:D$36,MATCH($H29,[1]单位特点规划!$A$2:$A$36,0))/10000</f>
        <v>2.26</v>
      </c>
      <c r="J29">
        <f>INDEX([1]单位特点规划!E$2:E$36,MATCH($H29,[1]单位特点规划!$A$2:$A$36,0))/10000</f>
        <v>1.86</v>
      </c>
      <c r="K29">
        <f>INDEX([1]单位特点规划!F$2:F$36,MATCH($H29,[1]单位特点规划!$A$2:$A$36,0))/10000</f>
        <v>3.59</v>
      </c>
      <c r="L29">
        <f>INDEX([1]单位特点规划!G$2:G$36,MATCH($H29,[1]单位特点规划!$A$2:$A$36,0))/10000</f>
        <v>1.23</v>
      </c>
    </row>
    <row r="30" ht="14.25" spans="1:12">
      <c r="A30" s="6">
        <v>10128</v>
      </c>
      <c r="B30" s="8" t="s">
        <v>275</v>
      </c>
      <c r="C30">
        <f t="shared" si="1"/>
        <v>0.66</v>
      </c>
      <c r="D30">
        <f t="shared" si="2"/>
        <v>0</v>
      </c>
      <c r="E30">
        <f t="shared" si="3"/>
        <v>1.16</v>
      </c>
      <c r="F30">
        <f t="shared" si="4"/>
        <v>0.71</v>
      </c>
      <c r="G30" t="b">
        <v>0</v>
      </c>
      <c r="H30">
        <f t="array" ref="H30">INDEX([1]单位特点规划!$A$2:$A$37,MATCH(B30,[1]单位特点规划!$B$2:$B$37,0))</f>
        <v>4005</v>
      </c>
      <c r="I30">
        <f>INDEX([1]单位特点规划!D$2:D$36,MATCH($H30,[1]单位特点规划!$A$2:$A$36,0))/10000</f>
        <v>0.66</v>
      </c>
      <c r="J30">
        <f>INDEX([1]单位特点规划!E$2:E$36,MATCH($H30,[1]单位特点规划!$A$2:$A$36,0))/10000</f>
        <v>0</v>
      </c>
      <c r="K30">
        <f>INDEX([1]单位特点规划!F$2:F$36,MATCH($H30,[1]单位特点规划!$A$2:$A$36,0))/10000</f>
        <v>1.16</v>
      </c>
      <c r="L30">
        <f>INDEX([1]单位特点规划!G$2:G$36,MATCH($H30,[1]单位特点规划!$A$2:$A$36,0))/10000</f>
        <v>0.71</v>
      </c>
    </row>
    <row r="31" ht="14.25" spans="1:12">
      <c r="A31" s="6">
        <v>10129</v>
      </c>
      <c r="B31" s="8" t="s">
        <v>276</v>
      </c>
      <c r="C31">
        <f t="shared" si="1"/>
        <v>0.675</v>
      </c>
      <c r="D31">
        <f t="shared" si="2"/>
        <v>9.39</v>
      </c>
      <c r="E31">
        <f t="shared" si="3"/>
        <v>0.67</v>
      </c>
      <c r="F31">
        <f t="shared" si="4"/>
        <v>0.83</v>
      </c>
      <c r="G31" t="b">
        <v>0</v>
      </c>
      <c r="H31">
        <f t="array" ref="H31">INDEX([1]单位特点规划!$A$2:$A$37,MATCH(B31,[1]单位特点规划!$B$2:$B$37,0))</f>
        <v>4002</v>
      </c>
      <c r="I31">
        <f>INDEX([1]单位特点规划!D$2:D$36,MATCH($H31,[1]单位特点规划!$A$2:$A$36,0))/10000</f>
        <v>0.675</v>
      </c>
      <c r="J31">
        <f>INDEX([1]单位特点规划!E$2:E$36,MATCH($H31,[1]单位特点规划!$A$2:$A$36,0))/10000</f>
        <v>9.39</v>
      </c>
      <c r="K31">
        <f>INDEX([1]单位特点规划!F$2:F$36,MATCH($H31,[1]单位特点规划!$A$2:$A$36,0))/10000</f>
        <v>0.67</v>
      </c>
      <c r="L31">
        <f>INDEX([1]单位特点规划!G$2:G$36,MATCH($H31,[1]单位特点规划!$A$2:$A$36,0))/10000</f>
        <v>0.83</v>
      </c>
    </row>
    <row r="32" ht="14.25" spans="1:12">
      <c r="A32" s="6">
        <v>10130</v>
      </c>
      <c r="B32" s="10" t="s">
        <v>277</v>
      </c>
      <c r="C32">
        <f t="shared" si="1"/>
        <v>1.42</v>
      </c>
      <c r="D32">
        <f t="shared" si="2"/>
        <v>14.2</v>
      </c>
      <c r="E32">
        <f t="shared" si="3"/>
        <v>2.12</v>
      </c>
      <c r="F32">
        <f t="shared" si="4"/>
        <v>0.37</v>
      </c>
      <c r="G32" t="b">
        <v>0</v>
      </c>
      <c r="H32">
        <f t="array" ref="H32">INDEX([1]单位特点规划!$A$2:$A$37,MATCH(B32,[1]单位特点规划!$B$2:$B$37,0))</f>
        <v>4004</v>
      </c>
      <c r="I32">
        <f>INDEX([1]单位特点规划!D$2:D$36,MATCH($H32,[1]单位特点规划!$A$2:$A$36,0))/10000</f>
        <v>1.42</v>
      </c>
      <c r="J32">
        <f>INDEX([1]单位特点规划!E$2:E$36,MATCH($H32,[1]单位特点规划!$A$2:$A$36,0))/10000</f>
        <v>14.2</v>
      </c>
      <c r="K32">
        <f>INDEX([1]单位特点规划!F$2:F$36,MATCH($H32,[1]单位特点规划!$A$2:$A$36,0))/10000</f>
        <v>2.12</v>
      </c>
      <c r="L32">
        <f>INDEX([1]单位特点规划!G$2:G$36,MATCH($H32,[1]单位特点规划!$A$2:$A$36,0))/10000</f>
        <v>0.37</v>
      </c>
    </row>
    <row r="33" ht="14.25" spans="1:12">
      <c r="A33" s="11">
        <v>10131</v>
      </c>
      <c r="B33" s="12" t="s">
        <v>278</v>
      </c>
      <c r="C33">
        <f t="shared" si="1"/>
        <v>0.22</v>
      </c>
      <c r="D33">
        <f t="shared" si="2"/>
        <v>0</v>
      </c>
      <c r="E33">
        <f t="shared" si="3"/>
        <v>0.45</v>
      </c>
      <c r="F33">
        <f t="shared" si="4"/>
        <v>0.32</v>
      </c>
      <c r="G33" t="b">
        <v>0</v>
      </c>
      <c r="H33">
        <f t="array" ref="H33">INDEX([1]单位特点规划!$A$2:$A$37,MATCH(B33,[1]单位特点规划!$B$2:$B$37,0))</f>
        <v>4007</v>
      </c>
      <c r="I33">
        <f>INDEX([1]单位特点规划!D$2:D$36,MATCH($H33,[1]单位特点规划!$A$2:$A$36,0))/10000</f>
        <v>0.22</v>
      </c>
      <c r="J33">
        <f>INDEX([1]单位特点规划!E$2:E$36,MATCH($H33,[1]单位特点规划!$A$2:$A$36,0))/10000</f>
        <v>0</v>
      </c>
      <c r="K33">
        <f>INDEX([1]单位特点规划!F$2:F$36,MATCH($H33,[1]单位特点规划!$A$2:$A$36,0))/10000</f>
        <v>0.45</v>
      </c>
      <c r="L33">
        <f>INDEX([1]单位特点规划!G$2:G$36,MATCH($H33,[1]单位特点规划!$A$2:$A$36,0))/10000</f>
        <v>0.32</v>
      </c>
    </row>
    <row r="34" ht="14.25" spans="1:12">
      <c r="A34" s="11">
        <v>10132</v>
      </c>
      <c r="B34" s="12" t="s">
        <v>162</v>
      </c>
      <c r="C34">
        <f t="shared" si="1"/>
        <v>0.5</v>
      </c>
      <c r="D34">
        <f t="shared" si="2"/>
        <v>12</v>
      </c>
      <c r="E34">
        <f t="shared" si="3"/>
        <v>0.87</v>
      </c>
      <c r="F34">
        <f t="shared" si="4"/>
        <v>1.03</v>
      </c>
      <c r="G34" t="b">
        <v>0</v>
      </c>
      <c r="H34">
        <f t="array" ref="H34">INDEX([1]单位特点规划!$A$2:$A$37,MATCH(B34,[1]单位特点规划!$B$2:$B$37,0))</f>
        <v>4003</v>
      </c>
      <c r="I34">
        <f>INDEX([1]单位特点规划!D$2:D$36,MATCH($H34,[1]单位特点规划!$A$2:$A$36,0))/10000</f>
        <v>0.5</v>
      </c>
      <c r="J34">
        <f>INDEX([1]单位特点规划!E$2:E$36,MATCH($H34,[1]单位特点规划!$A$2:$A$36,0))/10000</f>
        <v>12</v>
      </c>
      <c r="K34">
        <f>INDEX([1]单位特点规划!F$2:F$36,MATCH($H34,[1]单位特点规划!$A$2:$A$36,0))/10000</f>
        <v>0.87</v>
      </c>
      <c r="L34">
        <f>INDEX([1]单位特点规划!G$2:G$36,MATCH($H34,[1]单位特点规划!$A$2:$A$36,0))/10000</f>
        <v>1.03</v>
      </c>
    </row>
    <row r="35" ht="14.25" spans="1:7">
      <c r="A35" s="11">
        <v>10133</v>
      </c>
      <c r="B35" s="12" t="s">
        <v>279</v>
      </c>
      <c r="C35">
        <v>1</v>
      </c>
      <c r="D35">
        <v>0</v>
      </c>
      <c r="E35">
        <v>0.8</v>
      </c>
      <c r="F35">
        <f>0</f>
        <v>0</v>
      </c>
      <c r="G35" t="b">
        <v>0</v>
      </c>
    </row>
    <row r="36" ht="14.25" spans="1:7">
      <c r="A36" s="11">
        <v>10134</v>
      </c>
      <c r="B36" s="12" t="s">
        <v>280</v>
      </c>
      <c r="C36">
        <v>1.66</v>
      </c>
      <c r="D36">
        <v>0</v>
      </c>
      <c r="E36">
        <v>0.87</v>
      </c>
      <c r="F36">
        <v>0.85</v>
      </c>
      <c r="G36" t="b">
        <v>0</v>
      </c>
    </row>
    <row r="37" ht="14.25" spans="1:7">
      <c r="A37" s="11">
        <v>10135</v>
      </c>
      <c r="B37" s="12" t="s">
        <v>281</v>
      </c>
      <c r="C37">
        <v>0.13</v>
      </c>
      <c r="D37">
        <v>0</v>
      </c>
      <c r="E37">
        <v>1.09</v>
      </c>
      <c r="F37">
        <v>1.18</v>
      </c>
      <c r="G37" t="b">
        <v>0</v>
      </c>
    </row>
    <row r="38" ht="14.25" spans="1:7">
      <c r="A38" s="11">
        <v>10136</v>
      </c>
      <c r="B38" s="8" t="s">
        <v>282</v>
      </c>
      <c r="C38">
        <v>0.22</v>
      </c>
      <c r="D38">
        <v>0.45</v>
      </c>
      <c r="E38">
        <v>0.45</v>
      </c>
      <c r="F38">
        <v>0.32</v>
      </c>
      <c r="G38" t="b">
        <v>0</v>
      </c>
    </row>
    <row r="39" ht="14.25" spans="1:7">
      <c r="A39" s="11">
        <v>10137</v>
      </c>
      <c r="B39" s="8" t="s">
        <v>283</v>
      </c>
      <c r="C39">
        <f>ROUND(0.86*1.33,2)</f>
        <v>1.14</v>
      </c>
      <c r="D39">
        <v>0</v>
      </c>
      <c r="E39">
        <f>ROUND(1.16*1.33,2)</f>
        <v>1.54</v>
      </c>
      <c r="F39">
        <f>ROUND(0.71*1.33,2)</f>
        <v>0.94</v>
      </c>
      <c r="G39" t="b">
        <v>0</v>
      </c>
    </row>
    <row r="40" spans="1:7">
      <c r="A40" s="6">
        <v>20000</v>
      </c>
      <c r="B40" s="13" t="s">
        <v>284</v>
      </c>
      <c r="C40">
        <v>0</v>
      </c>
      <c r="D40">
        <v>0</v>
      </c>
      <c r="E40">
        <v>10</v>
      </c>
      <c r="F40">
        <f>0</f>
        <v>0</v>
      </c>
      <c r="G40" t="b">
        <v>0</v>
      </c>
    </row>
    <row r="41" ht="12" customHeight="1" spans="1:7">
      <c r="A41" s="6">
        <v>20001</v>
      </c>
      <c r="B41" s="13" t="s">
        <v>178</v>
      </c>
      <c r="C41">
        <v>1</v>
      </c>
      <c r="D41">
        <v>0</v>
      </c>
      <c r="E41">
        <v>6</v>
      </c>
      <c r="F41">
        <v>0</v>
      </c>
      <c r="G41" t="b">
        <v>0</v>
      </c>
    </row>
    <row r="42" spans="1:7">
      <c r="A42" s="6">
        <v>20002</v>
      </c>
      <c r="B42" s="13" t="s">
        <v>178</v>
      </c>
      <c r="C42">
        <v>0</v>
      </c>
      <c r="D42">
        <v>0</v>
      </c>
      <c r="E42">
        <v>6</v>
      </c>
      <c r="F42">
        <v>0</v>
      </c>
      <c r="G42" t="b">
        <v>0</v>
      </c>
    </row>
    <row r="43" spans="1:7">
      <c r="A43" s="6">
        <v>20003</v>
      </c>
      <c r="B43" s="13" t="s">
        <v>285</v>
      </c>
      <c r="C43">
        <v>0</v>
      </c>
      <c r="D43">
        <v>0</v>
      </c>
      <c r="E43">
        <v>0.05</v>
      </c>
      <c r="F43">
        <v>0</v>
      </c>
      <c r="G43" t="b">
        <v>0</v>
      </c>
    </row>
    <row r="44" spans="1:7">
      <c r="A44" s="6">
        <v>20004</v>
      </c>
      <c r="B44" s="13" t="s">
        <v>286</v>
      </c>
      <c r="C44">
        <v>0</v>
      </c>
      <c r="D44">
        <v>0</v>
      </c>
      <c r="E44">
        <v>0.07</v>
      </c>
      <c r="F44">
        <v>0</v>
      </c>
      <c r="G44" t="b">
        <v>0</v>
      </c>
    </row>
    <row r="45" spans="1:7">
      <c r="A45" s="6">
        <v>20005</v>
      </c>
      <c r="B45" s="13" t="s">
        <v>287</v>
      </c>
      <c r="C45">
        <v>0</v>
      </c>
      <c r="D45">
        <v>0</v>
      </c>
      <c r="E45">
        <v>0.1</v>
      </c>
      <c r="F45">
        <v>0</v>
      </c>
      <c r="G45" t="b">
        <v>0</v>
      </c>
    </row>
    <row r="46" spans="1:7">
      <c r="A46" s="6">
        <v>20006</v>
      </c>
      <c r="B46" s="13" t="s">
        <v>23</v>
      </c>
      <c r="C46">
        <v>0</v>
      </c>
      <c r="D46">
        <v>0</v>
      </c>
      <c r="E46">
        <v>0.1</v>
      </c>
      <c r="F46">
        <v>0</v>
      </c>
      <c r="G46" t="b">
        <v>0</v>
      </c>
    </row>
    <row r="47" spans="1:7">
      <c r="A47" s="6">
        <v>20007</v>
      </c>
      <c r="B47" s="13" t="s">
        <v>288</v>
      </c>
      <c r="C47">
        <v>0</v>
      </c>
      <c r="D47">
        <v>0</v>
      </c>
      <c r="E47">
        <v>0.1</v>
      </c>
      <c r="F47">
        <v>0</v>
      </c>
      <c r="G47" t="b">
        <v>0</v>
      </c>
    </row>
    <row r="48" spans="1:7">
      <c r="A48" s="6">
        <v>20008</v>
      </c>
      <c r="B48" t="s">
        <v>289</v>
      </c>
      <c r="C48">
        <v>0.15</v>
      </c>
      <c r="D48">
        <v>0</v>
      </c>
      <c r="E48">
        <v>0.15</v>
      </c>
      <c r="F48">
        <v>0</v>
      </c>
      <c r="G48" t="b">
        <v>0</v>
      </c>
    </row>
    <row r="49" spans="1:7">
      <c r="A49" s="6">
        <v>20009</v>
      </c>
      <c r="B49" t="s">
        <v>189</v>
      </c>
      <c r="C49">
        <v>0.08</v>
      </c>
      <c r="D49">
        <v>0</v>
      </c>
      <c r="E49">
        <v>0.08</v>
      </c>
      <c r="F49">
        <v>0</v>
      </c>
      <c r="G49" t="b">
        <v>0</v>
      </c>
    </row>
    <row r="50" spans="1:7">
      <c r="A50" s="6">
        <v>20010</v>
      </c>
      <c r="B50" s="6" t="s">
        <v>290</v>
      </c>
      <c r="C50">
        <v>0</v>
      </c>
      <c r="D50">
        <v>0</v>
      </c>
      <c r="E50">
        <v>0.05</v>
      </c>
      <c r="F50">
        <v>0</v>
      </c>
      <c r="G50" t="b">
        <v>0</v>
      </c>
    </row>
    <row r="51" spans="1:7">
      <c r="A51" s="6">
        <v>20011</v>
      </c>
      <c r="B51" s="6" t="s">
        <v>291</v>
      </c>
      <c r="C51">
        <v>0</v>
      </c>
      <c r="D51">
        <v>0</v>
      </c>
      <c r="E51">
        <v>0.05</v>
      </c>
      <c r="F51">
        <v>0</v>
      </c>
      <c r="G51" t="b">
        <v>0</v>
      </c>
    </row>
    <row r="52" spans="1:7">
      <c r="A52" s="6">
        <v>20012</v>
      </c>
      <c r="B52" s="6" t="s">
        <v>292</v>
      </c>
      <c r="C52">
        <v>0</v>
      </c>
      <c r="D52">
        <v>0</v>
      </c>
      <c r="E52">
        <v>0.05</v>
      </c>
      <c r="F52">
        <v>0</v>
      </c>
      <c r="G52" t="b">
        <v>0</v>
      </c>
    </row>
    <row r="53" spans="1:7">
      <c r="A53" s="6">
        <v>20013</v>
      </c>
      <c r="B53" s="6" t="s">
        <v>293</v>
      </c>
      <c r="C53">
        <v>0</v>
      </c>
      <c r="D53">
        <v>0</v>
      </c>
      <c r="E53">
        <v>0.05</v>
      </c>
      <c r="F53">
        <v>0</v>
      </c>
      <c r="G53" t="b">
        <v>0</v>
      </c>
    </row>
    <row r="54" spans="1:7">
      <c r="A54" s="6">
        <v>20014</v>
      </c>
      <c r="B54" s="6" t="s">
        <v>294</v>
      </c>
      <c r="C54">
        <v>0</v>
      </c>
      <c r="D54">
        <v>0</v>
      </c>
      <c r="E54">
        <v>0.05</v>
      </c>
      <c r="F54">
        <v>0</v>
      </c>
      <c r="G54" t="b">
        <v>0</v>
      </c>
    </row>
    <row r="55" spans="1:7">
      <c r="A55" s="6">
        <v>20015</v>
      </c>
      <c r="B55" s="6" t="s">
        <v>295</v>
      </c>
      <c r="C55">
        <v>0</v>
      </c>
      <c r="D55">
        <v>0</v>
      </c>
      <c r="E55">
        <v>0.05</v>
      </c>
      <c r="F55">
        <v>0</v>
      </c>
      <c r="G55" t="b">
        <v>0</v>
      </c>
    </row>
    <row r="56" spans="1:7">
      <c r="A56" s="6">
        <v>20016</v>
      </c>
      <c r="B56" s="6" t="s">
        <v>296</v>
      </c>
      <c r="C56">
        <v>0</v>
      </c>
      <c r="D56">
        <v>0</v>
      </c>
      <c r="E56">
        <v>0.02</v>
      </c>
      <c r="F56">
        <v>0</v>
      </c>
      <c r="G56" t="b">
        <v>0</v>
      </c>
    </row>
    <row r="57" spans="1:7">
      <c r="A57" s="6">
        <v>20017</v>
      </c>
      <c r="B57" s="6" t="s">
        <v>297</v>
      </c>
      <c r="C57">
        <v>0</v>
      </c>
      <c r="D57">
        <v>0</v>
      </c>
      <c r="E57">
        <v>0.02</v>
      </c>
      <c r="F57">
        <v>0</v>
      </c>
      <c r="G57" t="b">
        <v>0</v>
      </c>
    </row>
    <row r="58" spans="1:7">
      <c r="A58" s="6">
        <v>20018</v>
      </c>
      <c r="B58" s="6" t="s">
        <v>298</v>
      </c>
      <c r="C58">
        <v>0</v>
      </c>
      <c r="D58">
        <v>0</v>
      </c>
      <c r="E58">
        <v>0.02</v>
      </c>
      <c r="F58">
        <v>0</v>
      </c>
      <c r="G58" t="b">
        <v>0</v>
      </c>
    </row>
    <row r="59" spans="1:7">
      <c r="A59" s="6">
        <v>20019</v>
      </c>
      <c r="B59" s="6" t="s">
        <v>299</v>
      </c>
      <c r="C59">
        <v>0</v>
      </c>
      <c r="D59">
        <v>0</v>
      </c>
      <c r="E59">
        <v>0.02</v>
      </c>
      <c r="F59">
        <v>0</v>
      </c>
      <c r="G59" t="b">
        <v>0</v>
      </c>
    </row>
    <row r="60" spans="1:7">
      <c r="A60" s="6">
        <v>20020</v>
      </c>
      <c r="B60" s="6" t="s">
        <v>300</v>
      </c>
      <c r="C60">
        <v>0</v>
      </c>
      <c r="D60">
        <v>0</v>
      </c>
      <c r="E60">
        <v>0.02</v>
      </c>
      <c r="F60">
        <v>0</v>
      </c>
      <c r="G60" t="b">
        <v>0</v>
      </c>
    </row>
    <row r="61" spans="1:7">
      <c r="A61" s="6">
        <v>20021</v>
      </c>
      <c r="B61" s="6" t="s">
        <v>301</v>
      </c>
      <c r="C61">
        <v>0</v>
      </c>
      <c r="D61">
        <v>0</v>
      </c>
      <c r="E61">
        <v>0.02</v>
      </c>
      <c r="F61">
        <v>0</v>
      </c>
      <c r="G61" t="b">
        <v>0</v>
      </c>
    </row>
    <row r="62" spans="1:7">
      <c r="A62" s="6">
        <v>20022</v>
      </c>
      <c r="B62" s="6" t="s">
        <v>302</v>
      </c>
      <c r="C62">
        <v>0</v>
      </c>
      <c r="D62">
        <v>0</v>
      </c>
      <c r="E62">
        <v>0.02</v>
      </c>
      <c r="F62">
        <v>0</v>
      </c>
      <c r="G62" t="b">
        <v>0</v>
      </c>
    </row>
    <row r="63" spans="1:7">
      <c r="A63" s="6">
        <v>20023</v>
      </c>
      <c r="B63" s="6" t="s">
        <v>303</v>
      </c>
      <c r="C63">
        <v>0</v>
      </c>
      <c r="D63">
        <v>0</v>
      </c>
      <c r="E63">
        <v>0.02</v>
      </c>
      <c r="F63">
        <v>0</v>
      </c>
      <c r="G63" t="b">
        <v>0</v>
      </c>
    </row>
    <row r="64" spans="1:7">
      <c r="A64" s="6">
        <v>20024</v>
      </c>
      <c r="B64" s="6" t="s">
        <v>304</v>
      </c>
      <c r="C64">
        <v>0</v>
      </c>
      <c r="D64">
        <v>0</v>
      </c>
      <c r="E64">
        <v>0.02</v>
      </c>
      <c r="F64">
        <v>0</v>
      </c>
      <c r="G64" t="b">
        <v>0</v>
      </c>
    </row>
    <row r="65" spans="1:7">
      <c r="A65" s="6">
        <v>20025</v>
      </c>
      <c r="B65" s="6" t="s">
        <v>305</v>
      </c>
      <c r="C65">
        <v>0</v>
      </c>
      <c r="D65">
        <v>0</v>
      </c>
      <c r="E65">
        <v>0.02</v>
      </c>
      <c r="F65">
        <v>0</v>
      </c>
      <c r="G65" t="b">
        <v>0</v>
      </c>
    </row>
    <row r="66" spans="1:7">
      <c r="A66" s="6">
        <v>20026</v>
      </c>
      <c r="B66" s="6" t="s">
        <v>306</v>
      </c>
      <c r="C66">
        <v>0</v>
      </c>
      <c r="D66">
        <v>0</v>
      </c>
      <c r="E66">
        <v>0.02</v>
      </c>
      <c r="F66">
        <v>0</v>
      </c>
      <c r="G66" t="b">
        <v>0</v>
      </c>
    </row>
    <row r="67" spans="1:7">
      <c r="A67" s="6">
        <v>20027</v>
      </c>
      <c r="B67" s="6" t="s">
        <v>307</v>
      </c>
      <c r="C67">
        <v>0</v>
      </c>
      <c r="D67">
        <v>0</v>
      </c>
      <c r="E67">
        <v>0.02</v>
      </c>
      <c r="F67">
        <v>0</v>
      </c>
      <c r="G67" t="b">
        <v>0</v>
      </c>
    </row>
    <row r="68" spans="1:7">
      <c r="A68" s="6">
        <v>20028</v>
      </c>
      <c r="B68" s="6" t="s">
        <v>308</v>
      </c>
      <c r="C68">
        <v>0</v>
      </c>
      <c r="D68">
        <v>0</v>
      </c>
      <c r="E68">
        <v>0.02</v>
      </c>
      <c r="F68">
        <v>0</v>
      </c>
      <c r="G68" t="b">
        <v>0</v>
      </c>
    </row>
    <row r="69" spans="1:7">
      <c r="A69" s="6">
        <v>20029</v>
      </c>
      <c r="B69" s="6" t="s">
        <v>309</v>
      </c>
      <c r="C69">
        <v>0</v>
      </c>
      <c r="D69">
        <v>0</v>
      </c>
      <c r="E69">
        <v>0.02</v>
      </c>
      <c r="F69">
        <v>0</v>
      </c>
      <c r="G69" t="b">
        <v>0</v>
      </c>
    </row>
    <row r="70" spans="1:7">
      <c r="A70" s="6">
        <v>20030</v>
      </c>
      <c r="B70" s="6" t="s">
        <v>310</v>
      </c>
      <c r="C70">
        <v>0</v>
      </c>
      <c r="D70">
        <v>0</v>
      </c>
      <c r="E70">
        <v>0.02</v>
      </c>
      <c r="F70">
        <v>0</v>
      </c>
      <c r="G70" t="b">
        <v>0</v>
      </c>
    </row>
    <row r="71" spans="1:7">
      <c r="A71" s="6">
        <v>20031</v>
      </c>
      <c r="B71" s="6" t="s">
        <v>311</v>
      </c>
      <c r="C71">
        <v>0</v>
      </c>
      <c r="D71">
        <v>0</v>
      </c>
      <c r="E71">
        <v>0.02</v>
      </c>
      <c r="F71">
        <v>0</v>
      </c>
      <c r="G71" t="b">
        <v>0</v>
      </c>
    </row>
    <row r="72" spans="1:7">
      <c r="A72" s="6">
        <v>20032</v>
      </c>
      <c r="B72" s="6" t="s">
        <v>312</v>
      </c>
      <c r="C72">
        <v>0</v>
      </c>
      <c r="D72">
        <v>0</v>
      </c>
      <c r="E72">
        <v>0.02</v>
      </c>
      <c r="F72">
        <v>0</v>
      </c>
      <c r="G72" t="b">
        <v>0</v>
      </c>
    </row>
    <row r="73" spans="1:7">
      <c r="A73" s="6">
        <v>20033</v>
      </c>
      <c r="B73" s="6" t="s">
        <v>313</v>
      </c>
      <c r="C73">
        <v>0</v>
      </c>
      <c r="D73">
        <v>0</v>
      </c>
      <c r="E73">
        <v>0.02</v>
      </c>
      <c r="F73">
        <v>0</v>
      </c>
      <c r="G73" t="b">
        <v>0</v>
      </c>
    </row>
    <row r="74" spans="1:7">
      <c r="A74" s="6">
        <v>20034</v>
      </c>
      <c r="B74" s="6" t="s">
        <v>314</v>
      </c>
      <c r="C74">
        <v>0</v>
      </c>
      <c r="D74">
        <v>0</v>
      </c>
      <c r="E74">
        <v>0.02</v>
      </c>
      <c r="F74">
        <v>0</v>
      </c>
      <c r="G74" t="b">
        <v>0</v>
      </c>
    </row>
    <row r="75" spans="1:7">
      <c r="A75" s="6">
        <v>20035</v>
      </c>
      <c r="B75" s="6" t="s">
        <v>315</v>
      </c>
      <c r="C75">
        <v>0</v>
      </c>
      <c r="D75">
        <v>0</v>
      </c>
      <c r="E75">
        <v>0.02</v>
      </c>
      <c r="F75">
        <v>0</v>
      </c>
      <c r="G75" t="b">
        <v>0</v>
      </c>
    </row>
    <row r="76" spans="1:7">
      <c r="A76" s="6">
        <v>20036</v>
      </c>
      <c r="B76" s="6" t="s">
        <v>316</v>
      </c>
      <c r="C76">
        <v>0</v>
      </c>
      <c r="D76">
        <v>0</v>
      </c>
      <c r="E76">
        <v>0.02</v>
      </c>
      <c r="F76">
        <v>0</v>
      </c>
      <c r="G76" t="b">
        <v>0</v>
      </c>
    </row>
    <row r="77" spans="1:7">
      <c r="A77" s="6">
        <v>20037</v>
      </c>
      <c r="B77" s="6" t="s">
        <v>317</v>
      </c>
      <c r="C77">
        <v>0</v>
      </c>
      <c r="D77">
        <v>0</v>
      </c>
      <c r="E77">
        <v>0.02</v>
      </c>
      <c r="F77">
        <v>0</v>
      </c>
      <c r="G77" t="b">
        <v>0</v>
      </c>
    </row>
    <row r="78" spans="1:7">
      <c r="A78" s="6">
        <v>20038</v>
      </c>
      <c r="B78" s="6" t="s">
        <v>318</v>
      </c>
      <c r="C78">
        <v>0</v>
      </c>
      <c r="D78">
        <v>0</v>
      </c>
      <c r="E78">
        <v>0.02</v>
      </c>
      <c r="F78">
        <v>0</v>
      </c>
      <c r="G78" t="b">
        <v>0</v>
      </c>
    </row>
    <row r="79" spans="1:7">
      <c r="A79" s="6">
        <v>20039</v>
      </c>
      <c r="B79" s="6" t="s">
        <v>319</v>
      </c>
      <c r="C79">
        <v>0</v>
      </c>
      <c r="D79">
        <v>0</v>
      </c>
      <c r="E79">
        <v>0.02</v>
      </c>
      <c r="F79">
        <v>0</v>
      </c>
      <c r="G79" t="b">
        <v>0</v>
      </c>
    </row>
    <row r="80" spans="1:7">
      <c r="A80" s="6">
        <v>20040</v>
      </c>
      <c r="B80" s="13" t="s">
        <v>320</v>
      </c>
      <c r="C80">
        <v>0</v>
      </c>
      <c r="D80">
        <v>0</v>
      </c>
      <c r="E80">
        <v>3</v>
      </c>
      <c r="F80">
        <v>0</v>
      </c>
      <c r="G80" t="b">
        <v>0</v>
      </c>
    </row>
    <row r="81" spans="1:7">
      <c r="A81" s="6">
        <v>20041</v>
      </c>
      <c r="B81" s="13" t="s">
        <v>321</v>
      </c>
      <c r="C81">
        <v>0</v>
      </c>
      <c r="D81">
        <v>0</v>
      </c>
      <c r="E81">
        <v>4</v>
      </c>
      <c r="F81">
        <v>0</v>
      </c>
      <c r="G81" t="b">
        <v>0</v>
      </c>
    </row>
    <row r="82" spans="1:7">
      <c r="A82" s="6">
        <v>20042</v>
      </c>
      <c r="B82" s="13" t="s">
        <v>322</v>
      </c>
      <c r="C82">
        <v>0</v>
      </c>
      <c r="D82">
        <v>0</v>
      </c>
      <c r="E82">
        <v>4</v>
      </c>
      <c r="F82">
        <v>0</v>
      </c>
      <c r="G82" t="b">
        <v>0</v>
      </c>
    </row>
    <row r="83" spans="1:7">
      <c r="A83" s="6">
        <v>20043</v>
      </c>
      <c r="B83" s="13" t="s">
        <v>323</v>
      </c>
      <c r="C83">
        <v>0</v>
      </c>
      <c r="D83">
        <v>0</v>
      </c>
      <c r="E83">
        <v>3</v>
      </c>
      <c r="F83">
        <v>0</v>
      </c>
      <c r="G83" t="b">
        <v>0</v>
      </c>
    </row>
    <row r="84" spans="1:7">
      <c r="A84" s="6">
        <v>20044</v>
      </c>
      <c r="B84" s="13" t="s">
        <v>324</v>
      </c>
      <c r="C84">
        <v>0</v>
      </c>
      <c r="D84">
        <v>0</v>
      </c>
      <c r="E84">
        <v>3</v>
      </c>
      <c r="F84">
        <v>0</v>
      </c>
      <c r="G84" t="b">
        <v>0</v>
      </c>
    </row>
    <row r="85" spans="1:7">
      <c r="A85" s="6">
        <v>20045</v>
      </c>
      <c r="B85" s="13" t="s">
        <v>325</v>
      </c>
      <c r="C85">
        <v>0</v>
      </c>
      <c r="D85">
        <v>0</v>
      </c>
      <c r="E85">
        <v>3</v>
      </c>
      <c r="F85">
        <v>0</v>
      </c>
      <c r="G85" t="b">
        <v>0</v>
      </c>
    </row>
    <row r="86" spans="1:6">
      <c r="A86" s="6">
        <v>20100</v>
      </c>
      <c r="B86" t="s">
        <v>326</v>
      </c>
      <c r="C86">
        <v>0.3</v>
      </c>
      <c r="D86">
        <v>0</v>
      </c>
      <c r="E86">
        <v>1</v>
      </c>
      <c r="F86">
        <v>0</v>
      </c>
    </row>
    <row r="87" spans="1:6">
      <c r="A87" s="6">
        <v>20101</v>
      </c>
      <c r="B87" t="s">
        <v>195</v>
      </c>
      <c r="C87">
        <v>0.3</v>
      </c>
      <c r="D87">
        <v>0</v>
      </c>
      <c r="E87">
        <v>0.3</v>
      </c>
      <c r="F87">
        <v>0</v>
      </c>
    </row>
    <row r="88" spans="1:6">
      <c r="A88" s="6">
        <v>20102</v>
      </c>
      <c r="B88" t="s">
        <v>198</v>
      </c>
      <c r="C88">
        <v>0.3</v>
      </c>
      <c r="D88">
        <v>0</v>
      </c>
      <c r="E88">
        <v>0.3</v>
      </c>
      <c r="F88">
        <v>0</v>
      </c>
    </row>
    <row r="89" spans="1:6">
      <c r="A89" s="6">
        <v>20103</v>
      </c>
      <c r="B89" t="s">
        <v>327</v>
      </c>
      <c r="C89">
        <v>0.3</v>
      </c>
      <c r="D89">
        <v>0</v>
      </c>
      <c r="E89">
        <v>0.3</v>
      </c>
      <c r="F89">
        <v>0</v>
      </c>
    </row>
    <row r="90" spans="1:6">
      <c r="A90" s="6">
        <v>20104</v>
      </c>
      <c r="B90" t="s">
        <v>200</v>
      </c>
      <c r="C90">
        <v>0.3</v>
      </c>
      <c r="D90">
        <v>0</v>
      </c>
      <c r="E90">
        <v>0.3</v>
      </c>
      <c r="F90">
        <v>0</v>
      </c>
    </row>
    <row r="91" spans="1:6">
      <c r="A91" s="6">
        <v>20105</v>
      </c>
      <c r="B91" s="7" t="s">
        <v>202</v>
      </c>
      <c r="C91">
        <v>0.3</v>
      </c>
      <c r="D91">
        <v>0</v>
      </c>
      <c r="E91">
        <v>0.3</v>
      </c>
      <c r="F91">
        <v>0</v>
      </c>
    </row>
    <row r="92" ht="14.25" spans="1:6">
      <c r="A92" s="11">
        <v>10140</v>
      </c>
      <c r="B92" s="12" t="s">
        <v>278</v>
      </c>
      <c r="C92">
        <v>0.22</v>
      </c>
      <c r="D92">
        <v>0</v>
      </c>
      <c r="E92">
        <v>0.45</v>
      </c>
      <c r="F92">
        <v>0.32</v>
      </c>
    </row>
  </sheetData>
  <pageMargins left="0.75" right="0.75" top="1" bottom="1" header="0.511805555555556" footer="0.51180555555555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201"/>
  <sheetViews>
    <sheetView workbookViewId="0">
      <pane ySplit="1" topLeftCell="A2" activePane="bottomLeft" state="frozen"/>
      <selection/>
      <selection pane="bottomLeft" activeCell="I11" sqref="I11"/>
    </sheetView>
  </sheetViews>
  <sheetFormatPr defaultColWidth="9" defaultRowHeight="13.5"/>
  <cols>
    <col min="1" max="2" width="9" style="5"/>
    <col min="3" max="3" width="7.75" style="5" customWidth="1"/>
    <col min="4" max="4" width="9" style="5"/>
    <col min="5" max="5" width="10.375" style="5" customWidth="1"/>
    <col min="6" max="6" width="12.625"/>
    <col min="8" max="8" width="12.625"/>
    <col min="10" max="10" width="10.375"/>
    <col min="11" max="11" width="12.625"/>
    <col min="15" max="15" width="12.625"/>
  </cols>
  <sheetData>
    <row r="1" spans="1:11">
      <c r="A1" s="5" t="s">
        <v>328</v>
      </c>
      <c r="B1" s="5" t="s">
        <v>329</v>
      </c>
      <c r="C1" s="5" t="s">
        <v>330</v>
      </c>
      <c r="D1" s="5" t="s">
        <v>331</v>
      </c>
      <c r="E1" s="5" t="s">
        <v>332</v>
      </c>
      <c r="F1" t="s">
        <v>333</v>
      </c>
      <c r="G1">
        <v>2.4</v>
      </c>
      <c r="H1">
        <f>F101</f>
        <v>6.27803164309158</v>
      </c>
      <c r="K1" t="s">
        <v>334</v>
      </c>
    </row>
    <row r="2" spans="1:11">
      <c r="A2" s="5">
        <v>1</v>
      </c>
      <c r="B2" s="5">
        <v>100</v>
      </c>
      <c r="C2" s="5">
        <v>100</v>
      </c>
      <c r="D2" s="5">
        <v>68</v>
      </c>
      <c r="E2" s="5">
        <v>330</v>
      </c>
      <c r="F2">
        <v>1</v>
      </c>
      <c r="K2">
        <v>1.1</v>
      </c>
    </row>
    <row r="3" spans="1:11">
      <c r="A3" s="5">
        <v>2</v>
      </c>
      <c r="B3" s="5">
        <v>106</v>
      </c>
      <c r="C3" s="5">
        <v>106</v>
      </c>
      <c r="D3" s="5">
        <v>72</v>
      </c>
      <c r="E3" s="5">
        <v>350</v>
      </c>
      <c r="F3">
        <f>1+ROUND(A3/50,2)^G$1</f>
        <v>1.00044151349167</v>
      </c>
      <c r="K3">
        <v>1.1</v>
      </c>
    </row>
    <row r="4" spans="1:11">
      <c r="A4" s="5">
        <v>3</v>
      </c>
      <c r="B4" s="5">
        <v>109</v>
      </c>
      <c r="C4" s="5">
        <v>109</v>
      </c>
      <c r="D4" s="5">
        <v>75</v>
      </c>
      <c r="E4" s="5">
        <v>360</v>
      </c>
      <c r="F4">
        <f t="shared" ref="F4:F35" si="0">1+ROUND(A4/50,2)^G$1</f>
        <v>1.00116832320035</v>
      </c>
      <c r="K4">
        <v>1.1</v>
      </c>
    </row>
    <row r="5" spans="1:11">
      <c r="A5" s="5">
        <v>4</v>
      </c>
      <c r="B5" s="5">
        <v>112</v>
      </c>
      <c r="C5" s="5">
        <v>112</v>
      </c>
      <c r="D5" s="5">
        <v>77</v>
      </c>
      <c r="E5" s="5">
        <v>370</v>
      </c>
      <c r="F5">
        <f t="shared" si="0"/>
        <v>1.00233032217987</v>
      </c>
      <c r="K5">
        <v>1.1</v>
      </c>
    </row>
    <row r="6" spans="1:11">
      <c r="A6" s="5">
        <v>5</v>
      </c>
      <c r="B6" s="5">
        <v>115</v>
      </c>
      <c r="C6" s="5">
        <v>115</v>
      </c>
      <c r="D6" s="5">
        <v>79</v>
      </c>
      <c r="E6" s="5">
        <v>380</v>
      </c>
      <c r="F6">
        <f t="shared" si="0"/>
        <v>1.00398107170554</v>
      </c>
      <c r="K6">
        <v>1.1</v>
      </c>
    </row>
    <row r="7" spans="1:11">
      <c r="A7" s="5">
        <v>6</v>
      </c>
      <c r="B7" s="5">
        <v>118</v>
      </c>
      <c r="C7" s="5">
        <v>118</v>
      </c>
      <c r="D7" s="5">
        <v>81</v>
      </c>
      <c r="E7" s="5">
        <v>389</v>
      </c>
      <c r="F7">
        <f t="shared" si="0"/>
        <v>1.00616644682081</v>
      </c>
      <c r="K7">
        <v>1.1</v>
      </c>
    </row>
    <row r="8" spans="1:11">
      <c r="A8" s="5">
        <v>7</v>
      </c>
      <c r="B8" s="5">
        <v>121</v>
      </c>
      <c r="C8" s="5">
        <v>121</v>
      </c>
      <c r="D8" s="5">
        <v>83</v>
      </c>
      <c r="E8" s="5">
        <v>399</v>
      </c>
      <c r="F8">
        <f t="shared" si="0"/>
        <v>1.00892703598918</v>
      </c>
      <c r="K8">
        <v>1.1</v>
      </c>
    </row>
    <row r="9" spans="1:11">
      <c r="A9" s="5">
        <v>8</v>
      </c>
      <c r="B9" s="5">
        <v>124</v>
      </c>
      <c r="C9" s="5">
        <v>124</v>
      </c>
      <c r="D9" s="5">
        <v>85</v>
      </c>
      <c r="E9" s="5">
        <v>410</v>
      </c>
      <c r="F9">
        <f t="shared" si="0"/>
        <v>1.01229951420397</v>
      </c>
      <c r="K9">
        <v>1.1</v>
      </c>
    </row>
    <row r="10" spans="1:11">
      <c r="A10" s="5">
        <v>9</v>
      </c>
      <c r="B10" s="5">
        <v>127</v>
      </c>
      <c r="C10" s="5">
        <v>127</v>
      </c>
      <c r="D10" s="5">
        <v>87</v>
      </c>
      <c r="E10" s="5">
        <v>421</v>
      </c>
      <c r="F10">
        <f t="shared" si="0"/>
        <v>1.01631751468632</v>
      </c>
      <c r="K10">
        <v>1.1</v>
      </c>
    </row>
    <row r="11" spans="1:11">
      <c r="A11" s="5">
        <v>10</v>
      </c>
      <c r="B11" s="5">
        <v>131</v>
      </c>
      <c r="C11" s="5">
        <v>131</v>
      </c>
      <c r="D11" s="5">
        <v>89</v>
      </c>
      <c r="E11" s="5">
        <v>432</v>
      </c>
      <c r="F11">
        <f t="shared" si="0"/>
        <v>1.02101222243523</v>
      </c>
      <c r="K11">
        <v>1.1</v>
      </c>
    </row>
    <row r="12" spans="1:11">
      <c r="A12" s="5">
        <v>11</v>
      </c>
      <c r="B12" s="5">
        <v>134</v>
      </c>
      <c r="C12" s="5">
        <v>134</v>
      </c>
      <c r="D12" s="5">
        <v>91</v>
      </c>
      <c r="E12" s="5">
        <v>443</v>
      </c>
      <c r="F12">
        <f t="shared" si="0"/>
        <v>1.02641279945945</v>
      </c>
      <c r="K12">
        <v>1.1</v>
      </c>
    </row>
    <row r="13" spans="1:11">
      <c r="A13" s="5">
        <v>12</v>
      </c>
      <c r="B13" s="5">
        <v>138</v>
      </c>
      <c r="C13" s="5">
        <v>138</v>
      </c>
      <c r="D13" s="5">
        <v>94</v>
      </c>
      <c r="E13" s="5">
        <v>458</v>
      </c>
      <c r="F13">
        <f t="shared" si="0"/>
        <v>1.0325467014457</v>
      </c>
      <c r="J13">
        <f>(1+0.5)*2+1.8+1.5</f>
        <v>6.3</v>
      </c>
      <c r="K13">
        <v>1.1</v>
      </c>
    </row>
    <row r="14" spans="1:11">
      <c r="A14" s="5">
        <v>13</v>
      </c>
      <c r="B14" s="5">
        <v>143</v>
      </c>
      <c r="C14" s="5">
        <v>143</v>
      </c>
      <c r="D14" s="5">
        <v>98</v>
      </c>
      <c r="E14" s="5">
        <v>473</v>
      </c>
      <c r="F14">
        <f t="shared" si="0"/>
        <v>1.03943992088848</v>
      </c>
      <c r="K14">
        <v>1.1</v>
      </c>
    </row>
    <row r="15" spans="1:11">
      <c r="A15" s="5">
        <v>14</v>
      </c>
      <c r="B15" s="5">
        <v>148</v>
      </c>
      <c r="C15" s="5">
        <v>148</v>
      </c>
      <c r="D15" s="5">
        <v>102</v>
      </c>
      <c r="E15" s="5">
        <v>488</v>
      </c>
      <c r="F15">
        <f t="shared" si="0"/>
        <v>1.04711717842993</v>
      </c>
      <c r="K15">
        <v>1.1</v>
      </c>
    </row>
    <row r="16" spans="1:11">
      <c r="A16" s="5">
        <v>15</v>
      </c>
      <c r="B16" s="5">
        <v>153</v>
      </c>
      <c r="C16" s="5">
        <v>153</v>
      </c>
      <c r="D16" s="5">
        <v>104</v>
      </c>
      <c r="E16" s="5">
        <v>505</v>
      </c>
      <c r="F16">
        <f t="shared" si="0"/>
        <v>1.05560207655107</v>
      </c>
      <c r="K16">
        <v>1.1</v>
      </c>
    </row>
    <row r="17" spans="1:11">
      <c r="A17" s="5">
        <v>16</v>
      </c>
      <c r="B17" s="5">
        <v>158</v>
      </c>
      <c r="C17" s="5">
        <v>158</v>
      </c>
      <c r="D17" s="5">
        <v>109</v>
      </c>
      <c r="E17" s="5">
        <v>521</v>
      </c>
      <c r="F17">
        <f t="shared" si="0"/>
        <v>1.06491722516321</v>
      </c>
      <c r="K17">
        <v>1.1</v>
      </c>
    </row>
    <row r="18" spans="1:11">
      <c r="A18" s="5">
        <v>17</v>
      </c>
      <c r="B18" s="5">
        <v>163</v>
      </c>
      <c r="C18" s="5">
        <v>163</v>
      </c>
      <c r="D18" s="5">
        <v>112</v>
      </c>
      <c r="E18" s="5">
        <v>538</v>
      </c>
      <c r="F18">
        <f t="shared" si="0"/>
        <v>1.075084345754</v>
      </c>
      <c r="K18">
        <v>1.1</v>
      </c>
    </row>
    <row r="19" spans="1:11">
      <c r="A19" s="5">
        <v>18</v>
      </c>
      <c r="B19" s="5">
        <v>168</v>
      </c>
      <c r="C19" s="5">
        <v>168</v>
      </c>
      <c r="D19" s="5">
        <v>115</v>
      </c>
      <c r="E19" s="5">
        <v>556</v>
      </c>
      <c r="F19">
        <f t="shared" si="0"/>
        <v>1.08612435885099</v>
      </c>
      <c r="K19">
        <v>1.1</v>
      </c>
    </row>
    <row r="20" spans="1:11">
      <c r="A20" s="5">
        <v>19</v>
      </c>
      <c r="B20" s="5">
        <v>174</v>
      </c>
      <c r="C20" s="5">
        <v>174</v>
      </c>
      <c r="D20" s="5">
        <v>120</v>
      </c>
      <c r="E20" s="5">
        <v>574</v>
      </c>
      <c r="F20">
        <f t="shared" si="0"/>
        <v>1.09805745829136</v>
      </c>
      <c r="K20">
        <v>1.1</v>
      </c>
    </row>
    <row r="21" spans="1:11">
      <c r="A21" s="5">
        <v>20</v>
      </c>
      <c r="B21" s="5">
        <v>179</v>
      </c>
      <c r="C21" s="5">
        <v>179</v>
      </c>
      <c r="D21" s="5">
        <v>123</v>
      </c>
      <c r="E21" s="5">
        <v>593</v>
      </c>
      <c r="F21">
        <f t="shared" si="0"/>
        <v>1.11090317490482</v>
      </c>
      <c r="K21">
        <v>1.1</v>
      </c>
    </row>
    <row r="22" spans="1:11">
      <c r="A22" s="5">
        <v>21</v>
      </c>
      <c r="B22" s="5">
        <v>186</v>
      </c>
      <c r="C22" s="5">
        <v>186</v>
      </c>
      <c r="D22" s="5">
        <v>128</v>
      </c>
      <c r="E22" s="5">
        <v>616</v>
      </c>
      <c r="F22">
        <f t="shared" si="0"/>
        <v>1.124680431592</v>
      </c>
      <c r="K22">
        <v>1.1</v>
      </c>
    </row>
    <row r="23" spans="1:11">
      <c r="A23" s="5">
        <v>22</v>
      </c>
      <c r="B23" s="5">
        <v>194</v>
      </c>
      <c r="C23" s="5">
        <v>194</v>
      </c>
      <c r="D23" s="5">
        <v>132</v>
      </c>
      <c r="E23" s="5">
        <v>640</v>
      </c>
      <c r="F23">
        <f t="shared" si="0"/>
        <v>1.13940759132962</v>
      </c>
      <c r="K23">
        <v>1.1</v>
      </c>
    </row>
    <row r="24" spans="1:11">
      <c r="A24" s="5">
        <v>23</v>
      </c>
      <c r="B24" s="5">
        <v>201</v>
      </c>
      <c r="C24" s="5">
        <v>201</v>
      </c>
      <c r="D24" s="5">
        <v>139</v>
      </c>
      <c r="E24" s="5">
        <v>666</v>
      </c>
      <c r="F24">
        <f t="shared" si="0"/>
        <v>1.15510249930186</v>
      </c>
      <c r="K24">
        <v>1.1</v>
      </c>
    </row>
    <row r="25" spans="1:11">
      <c r="A25" s="5">
        <v>24</v>
      </c>
      <c r="B25" s="5">
        <v>209</v>
      </c>
      <c r="C25" s="5">
        <v>209</v>
      </c>
      <c r="D25" s="5">
        <v>145</v>
      </c>
      <c r="E25" s="5">
        <v>692</v>
      </c>
      <c r="F25">
        <f t="shared" si="0"/>
        <v>1.17178252010866</v>
      </c>
      <c r="K25">
        <v>1.1</v>
      </c>
    </row>
    <row r="26" spans="1:11">
      <c r="A26" s="5">
        <v>25</v>
      </c>
      <c r="B26" s="5">
        <v>218</v>
      </c>
      <c r="C26" s="5">
        <v>218</v>
      </c>
      <c r="D26" s="5">
        <v>149</v>
      </c>
      <c r="E26" s="5">
        <v>719</v>
      </c>
      <c r="F26">
        <f t="shared" si="0"/>
        <v>1.1894645708138</v>
      </c>
      <c r="K26">
        <v>1.1</v>
      </c>
    </row>
    <row r="27" spans="1:11">
      <c r="A27" s="5">
        <v>26</v>
      </c>
      <c r="B27" s="5">
        <v>226</v>
      </c>
      <c r="C27" s="5">
        <v>226</v>
      </c>
      <c r="D27" s="5">
        <v>156</v>
      </c>
      <c r="E27" s="5">
        <v>748</v>
      </c>
      <c r="F27">
        <f t="shared" si="0"/>
        <v>1.20816515045043</v>
      </c>
      <c r="K27">
        <v>1.1</v>
      </c>
    </row>
    <row r="28" spans="1:11">
      <c r="A28" s="5">
        <v>27</v>
      </c>
      <c r="B28" s="5">
        <v>236</v>
      </c>
      <c r="C28" s="5">
        <v>236</v>
      </c>
      <c r="D28" s="5">
        <v>163</v>
      </c>
      <c r="E28" s="5">
        <v>779</v>
      </c>
      <c r="F28">
        <f t="shared" si="0"/>
        <v>1.22790036648932</v>
      </c>
      <c r="K28">
        <v>1.1</v>
      </c>
    </row>
    <row r="29" spans="1:11">
      <c r="A29" s="5">
        <v>28</v>
      </c>
      <c r="B29" s="5">
        <v>245</v>
      </c>
      <c r="C29" s="5">
        <v>245</v>
      </c>
      <c r="D29" s="5">
        <v>168</v>
      </c>
      <c r="E29" s="5">
        <v>811</v>
      </c>
      <c r="F29">
        <f t="shared" si="0"/>
        <v>1.24868595868639</v>
      </c>
      <c r="K29">
        <v>1.1</v>
      </c>
    </row>
    <row r="30" spans="1:11">
      <c r="A30" s="5">
        <v>29</v>
      </c>
      <c r="B30" s="5">
        <v>255</v>
      </c>
      <c r="C30" s="5">
        <v>255</v>
      </c>
      <c r="D30" s="5">
        <v>175</v>
      </c>
      <c r="E30" s="5">
        <v>844</v>
      </c>
      <c r="F30">
        <f t="shared" si="0"/>
        <v>1.27053732065574</v>
      </c>
      <c r="K30">
        <v>1.10010944184658</v>
      </c>
    </row>
    <row r="31" spans="1:11">
      <c r="A31" s="5">
        <v>30</v>
      </c>
      <c r="B31" s="5">
        <v>266</v>
      </c>
      <c r="C31" s="5">
        <v>266</v>
      </c>
      <c r="D31" s="5">
        <v>184</v>
      </c>
      <c r="E31" s="5">
        <v>884</v>
      </c>
      <c r="F31">
        <f t="shared" si="0"/>
        <v>1.29346951945813</v>
      </c>
      <c r="K31">
        <v>1.10768320281911</v>
      </c>
    </row>
    <row r="32" spans="1:11">
      <c r="A32" s="5">
        <v>31</v>
      </c>
      <c r="B32" s="5">
        <v>278</v>
      </c>
      <c r="C32" s="5">
        <v>278</v>
      </c>
      <c r="D32" s="5">
        <v>193</v>
      </c>
      <c r="E32" s="5">
        <v>932</v>
      </c>
      <c r="F32">
        <f t="shared" si="0"/>
        <v>1.31749731344898</v>
      </c>
      <c r="K32">
        <v>1.11619736513126</v>
      </c>
    </row>
    <row r="33" spans="1:11">
      <c r="A33" s="5">
        <v>32</v>
      </c>
      <c r="B33" s="5">
        <v>292</v>
      </c>
      <c r="C33" s="5">
        <v>292</v>
      </c>
      <c r="D33" s="5">
        <v>201</v>
      </c>
      <c r="E33" s="5">
        <v>988</v>
      </c>
      <c r="F33">
        <f t="shared" si="0"/>
        <v>1.34263516859311</v>
      </c>
      <c r="K33">
        <v>1.12561028301887</v>
      </c>
    </row>
    <row r="34" spans="1:11">
      <c r="A34" s="5">
        <v>33</v>
      </c>
      <c r="B34" s="5">
        <v>306</v>
      </c>
      <c r="C34" s="5">
        <v>306</v>
      </c>
      <c r="D34" s="5">
        <v>211</v>
      </c>
      <c r="E34" s="5">
        <v>1044</v>
      </c>
      <c r="F34">
        <f t="shared" si="0"/>
        <v>1.36889727342278</v>
      </c>
      <c r="K34">
        <v>1.13587429522137</v>
      </c>
    </row>
    <row r="35" spans="1:11">
      <c r="A35" s="5">
        <v>34</v>
      </c>
      <c r="B35" s="5">
        <v>322</v>
      </c>
      <c r="C35" s="5">
        <v>322</v>
      </c>
      <c r="D35" s="5">
        <v>220</v>
      </c>
      <c r="E35" s="5">
        <v>1108</v>
      </c>
      <c r="F35">
        <f t="shared" si="0"/>
        <v>1.39629755279045</v>
      </c>
      <c r="K35">
        <v>1.14693704775687</v>
      </c>
    </row>
    <row r="36" spans="1:11">
      <c r="A36" s="5">
        <v>35</v>
      </c>
      <c r="B36" s="5">
        <v>337</v>
      </c>
      <c r="C36" s="5">
        <v>337</v>
      </c>
      <c r="D36" s="5">
        <v>230</v>
      </c>
      <c r="E36" s="5">
        <v>1171</v>
      </c>
      <c r="F36">
        <f t="shared" ref="F36:F67" si="1">1+ROUND(A36/50,2)^G$1</f>
        <v>1.42484968054675</v>
      </c>
      <c r="K36">
        <v>1.15874278136328</v>
      </c>
    </row>
    <row r="37" spans="1:11">
      <c r="A37" s="5">
        <v>36</v>
      </c>
      <c r="B37" s="5">
        <v>354</v>
      </c>
      <c r="C37" s="5">
        <v>354</v>
      </c>
      <c r="D37" s="5">
        <v>245</v>
      </c>
      <c r="E37" s="5">
        <v>1244</v>
      </c>
      <c r="F37">
        <f t="shared" si="1"/>
        <v>1.45456709125648</v>
      </c>
      <c r="K37">
        <v>1.17123354627072</v>
      </c>
    </row>
    <row r="38" spans="1:11">
      <c r="A38" s="5">
        <v>37</v>
      </c>
      <c r="B38" s="5">
        <v>370</v>
      </c>
      <c r="C38" s="5">
        <v>370</v>
      </c>
      <c r="D38" s="5">
        <v>257</v>
      </c>
      <c r="E38" s="5">
        <v>1317</v>
      </c>
      <c r="F38">
        <f t="shared" si="1"/>
        <v>1.48546299105106</v>
      </c>
      <c r="K38">
        <v>1.18435031578947</v>
      </c>
    </row>
    <row r="39" spans="1:11">
      <c r="A39" s="5">
        <v>38</v>
      </c>
      <c r="B39" s="5">
        <v>389</v>
      </c>
      <c r="C39" s="5">
        <v>389</v>
      </c>
      <c r="D39" s="5">
        <v>269</v>
      </c>
      <c r="E39" s="5">
        <v>1401</v>
      </c>
      <c r="F39">
        <f t="shared" si="1"/>
        <v>1.51755036770292</v>
      </c>
      <c r="K39">
        <v>1.19803397898884</v>
      </c>
    </row>
    <row r="40" spans="1:11">
      <c r="A40" s="5">
        <v>39</v>
      </c>
      <c r="B40" s="5">
        <v>408</v>
      </c>
      <c r="C40" s="5">
        <v>408</v>
      </c>
      <c r="D40" s="5">
        <v>281</v>
      </c>
      <c r="E40" s="5">
        <v>1485</v>
      </c>
      <c r="F40">
        <f t="shared" si="1"/>
        <v>1.55084199999726</v>
      </c>
      <c r="K40">
        <v>1.21222620094317</v>
      </c>
    </row>
    <row r="41" spans="1:11">
      <c r="A41" s="5">
        <v>40</v>
      </c>
      <c r="B41" s="5">
        <v>429</v>
      </c>
      <c r="C41" s="5">
        <v>429</v>
      </c>
      <c r="D41" s="5">
        <v>294</v>
      </c>
      <c r="E41" s="5">
        <v>1580</v>
      </c>
      <c r="F41">
        <f t="shared" si="1"/>
        <v>1.58535046646698</v>
      </c>
      <c r="K41">
        <v>1.22687014623522</v>
      </c>
    </row>
    <row r="42" spans="1:11">
      <c r="A42" s="5">
        <v>41</v>
      </c>
      <c r="B42" s="5">
        <v>452</v>
      </c>
      <c r="C42" s="5">
        <v>452</v>
      </c>
      <c r="D42" s="5">
        <v>313</v>
      </c>
      <c r="E42" s="5">
        <v>1687</v>
      </c>
      <c r="F42">
        <f t="shared" si="1"/>
        <v>1.6210881535495</v>
      </c>
      <c r="K42">
        <v>1.24191106740298</v>
      </c>
    </row>
    <row r="43" spans="1:11">
      <c r="A43" s="5">
        <v>42</v>
      </c>
      <c r="B43" s="5">
        <v>479</v>
      </c>
      <c r="C43" s="5">
        <v>479</v>
      </c>
      <c r="D43" s="5">
        <v>331</v>
      </c>
      <c r="E43" s="5">
        <v>1808</v>
      </c>
      <c r="F43">
        <f t="shared" si="1"/>
        <v>1.65806726321687</v>
      </c>
      <c r="K43">
        <v>1.25729676470588</v>
      </c>
    </row>
    <row r="44" spans="1:11">
      <c r="A44" s="5">
        <v>43</v>
      </c>
      <c r="B44" s="5">
        <v>505</v>
      </c>
      <c r="C44" s="5">
        <v>505</v>
      </c>
      <c r="D44" s="5">
        <v>350</v>
      </c>
      <c r="E44" s="5">
        <v>1930</v>
      </c>
      <c r="F44">
        <f t="shared" si="1"/>
        <v>1.69629982012529</v>
      </c>
      <c r="K44">
        <v>1.27297792699479</v>
      </c>
    </row>
    <row r="45" spans="1:11">
      <c r="A45" s="5">
        <v>44</v>
      </c>
      <c r="B45" s="5">
        <v>534</v>
      </c>
      <c r="C45" s="5">
        <v>534</v>
      </c>
      <c r="D45" s="5">
        <v>369</v>
      </c>
      <c r="E45" s="5">
        <v>2067</v>
      </c>
      <c r="F45">
        <f t="shared" si="1"/>
        <v>1.7357976783249</v>
      </c>
      <c r="K45">
        <v>1.28890836570477</v>
      </c>
    </row>
    <row r="46" spans="1:11">
      <c r="A46" s="5">
        <v>45</v>
      </c>
      <c r="B46" s="5">
        <v>563</v>
      </c>
      <c r="C46" s="5">
        <v>563</v>
      </c>
      <c r="D46" s="5">
        <v>389</v>
      </c>
      <c r="E46" s="5">
        <v>2206</v>
      </c>
      <c r="F46">
        <f t="shared" si="1"/>
        <v>1.77657252756649</v>
      </c>
      <c r="K46">
        <v>1.3050451552084</v>
      </c>
    </row>
    <row r="47" spans="1:11">
      <c r="A47" s="5">
        <v>46</v>
      </c>
      <c r="B47" s="5">
        <v>595</v>
      </c>
      <c r="C47" s="5">
        <v>595</v>
      </c>
      <c r="D47" s="5">
        <v>410</v>
      </c>
      <c r="E47" s="5">
        <v>2361</v>
      </c>
      <c r="F47">
        <f t="shared" si="1"/>
        <v>1.81863589923778</v>
      </c>
      <c r="K47">
        <v>1.32134869315212</v>
      </c>
    </row>
    <row r="48" spans="1:11">
      <c r="A48" s="5">
        <v>47</v>
      </c>
      <c r="B48" s="5">
        <v>627</v>
      </c>
      <c r="C48" s="5">
        <v>627</v>
      </c>
      <c r="D48" s="5">
        <v>433</v>
      </c>
      <c r="E48" s="5">
        <v>2519</v>
      </c>
      <c r="F48">
        <f t="shared" si="1"/>
        <v>1.86199917195892</v>
      </c>
      <c r="K48">
        <v>1.33778269413629</v>
      </c>
    </row>
    <row r="49" spans="1:11">
      <c r="A49" s="5">
        <v>48</v>
      </c>
      <c r="B49" s="5">
        <v>663</v>
      </c>
      <c r="C49" s="5">
        <v>663</v>
      </c>
      <c r="D49" s="5">
        <v>457</v>
      </c>
      <c r="E49" s="5">
        <v>2695</v>
      </c>
      <c r="F49">
        <f t="shared" si="1"/>
        <v>1.90667357686351</v>
      </c>
      <c r="K49">
        <v>1.35431412936547</v>
      </c>
    </row>
    <row r="50" spans="1:11">
      <c r="A50" s="5">
        <v>49</v>
      </c>
      <c r="B50" s="5">
        <v>698</v>
      </c>
      <c r="C50" s="5">
        <v>698</v>
      </c>
      <c r="D50" s="5">
        <v>485</v>
      </c>
      <c r="E50" s="5">
        <v>2873</v>
      </c>
      <c r="F50">
        <f t="shared" si="1"/>
        <v>1.95267020258929</v>
      </c>
      <c r="K50">
        <v>1.37091312384473</v>
      </c>
    </row>
    <row r="51" spans="1:11">
      <c r="A51" s="5">
        <v>50</v>
      </c>
      <c r="B51" s="5">
        <v>738</v>
      </c>
      <c r="C51" s="5">
        <v>738</v>
      </c>
      <c r="D51" s="5">
        <v>512</v>
      </c>
      <c r="E51" s="5">
        <v>3072</v>
      </c>
      <c r="F51">
        <f t="shared" si="1"/>
        <v>2</v>
      </c>
      <c r="K51">
        <v>1.38755282146161</v>
      </c>
    </row>
    <row r="52" spans="1:11">
      <c r="A52" s="5">
        <v>51</v>
      </c>
      <c r="B52" s="5">
        <v>783</v>
      </c>
      <c r="C52" s="5">
        <v>783</v>
      </c>
      <c r="D52" s="5">
        <v>540</v>
      </c>
      <c r="E52" s="5">
        <v>3298</v>
      </c>
      <c r="F52">
        <f t="shared" si="1"/>
        <v>2.04867378665811</v>
      </c>
      <c r="K52">
        <v>1.40420922697461</v>
      </c>
    </row>
    <row r="53" spans="1:11">
      <c r="A53" s="5">
        <v>52</v>
      </c>
      <c r="B53" s="5">
        <v>830</v>
      </c>
      <c r="C53" s="5">
        <v>830</v>
      </c>
      <c r="D53" s="5">
        <v>573</v>
      </c>
      <c r="E53" s="5">
        <v>3541</v>
      </c>
      <c r="F53">
        <f t="shared" si="1"/>
        <v>2.0987022510663</v>
      </c>
      <c r="K53">
        <v>1.4208610326087</v>
      </c>
    </row>
    <row r="54" spans="1:11">
      <c r="A54" s="5">
        <v>53</v>
      </c>
      <c r="B54" s="5">
        <v>880</v>
      </c>
      <c r="C54" s="5">
        <v>880</v>
      </c>
      <c r="D54" s="5">
        <v>611</v>
      </c>
      <c r="E54" s="5">
        <v>3798</v>
      </c>
      <c r="F54">
        <f t="shared" si="1"/>
        <v>2.15009595669386</v>
      </c>
      <c r="K54">
        <v>1.43748943569208</v>
      </c>
    </row>
    <row r="55" spans="1:11">
      <c r="A55" s="5">
        <v>54</v>
      </c>
      <c r="B55" s="5">
        <v>933</v>
      </c>
      <c r="C55" s="5">
        <v>933</v>
      </c>
      <c r="D55" s="5">
        <v>644</v>
      </c>
      <c r="E55" s="5">
        <v>4070</v>
      </c>
      <c r="F55">
        <f t="shared" si="1"/>
        <v>2.20286534580282</v>
      </c>
      <c r="K55">
        <v>1.45407795259501</v>
      </c>
    </row>
    <row r="56" spans="1:11">
      <c r="A56" s="5">
        <v>55</v>
      </c>
      <c r="B56" s="5">
        <v>988</v>
      </c>
      <c r="C56" s="5">
        <v>988</v>
      </c>
      <c r="D56" s="5">
        <v>682</v>
      </c>
      <c r="E56" s="5">
        <v>4360</v>
      </c>
      <c r="F56">
        <f t="shared" si="1"/>
        <v>2.25702074308744</v>
      </c>
      <c r="K56">
        <v>1.4706122331732</v>
      </c>
    </row>
    <row r="57" spans="1:11">
      <c r="A57" s="5">
        <v>56</v>
      </c>
      <c r="B57" s="5">
        <v>1046</v>
      </c>
      <c r="C57" s="5">
        <v>1046</v>
      </c>
      <c r="D57" s="5">
        <v>726</v>
      </c>
      <c r="E57" s="5">
        <v>4666</v>
      </c>
      <c r="F57">
        <f t="shared" si="1"/>
        <v>2.31257235913931</v>
      </c>
      <c r="K57">
        <v>1.48707987898579</v>
      </c>
    </row>
    <row r="58" spans="1:11">
      <c r="A58" s="5">
        <v>57</v>
      </c>
      <c r="B58" s="5">
        <v>1106</v>
      </c>
      <c r="C58" s="5">
        <v>1106</v>
      </c>
      <c r="D58" s="5">
        <v>764</v>
      </c>
      <c r="E58" s="5">
        <v>4992</v>
      </c>
      <c r="F58">
        <f t="shared" si="1"/>
        <v>2.36953029374951</v>
      </c>
      <c r="K58">
        <v>1.5034702677532</v>
      </c>
    </row>
    <row r="59" spans="1:11">
      <c r="A59" s="5">
        <v>58</v>
      </c>
      <c r="B59" s="5">
        <v>1170</v>
      </c>
      <c r="C59" s="5">
        <v>1170</v>
      </c>
      <c r="D59" s="5">
        <v>809</v>
      </c>
      <c r="E59" s="5">
        <v>5334</v>
      </c>
      <c r="F59">
        <f t="shared" si="1"/>
        <v>2.4279045390582</v>
      </c>
      <c r="K59">
        <v>1.51977438583815</v>
      </c>
    </row>
    <row r="60" spans="1:11">
      <c r="A60" s="5">
        <v>59</v>
      </c>
      <c r="B60" s="5">
        <v>1236</v>
      </c>
      <c r="C60" s="5">
        <v>1236</v>
      </c>
      <c r="D60" s="5">
        <v>858</v>
      </c>
      <c r="E60" s="5">
        <v>5699</v>
      </c>
      <c r="F60">
        <f t="shared" si="1"/>
        <v>2.48770498256129</v>
      </c>
      <c r="K60">
        <v>1.53598466996627</v>
      </c>
    </row>
    <row r="61" spans="1:11">
      <c r="A61" s="5">
        <v>60</v>
      </c>
      <c r="B61" s="5">
        <v>1306</v>
      </c>
      <c r="C61" s="5">
        <v>1306</v>
      </c>
      <c r="D61" s="5">
        <v>902</v>
      </c>
      <c r="E61" s="5">
        <v>6084</v>
      </c>
      <c r="F61">
        <f t="shared" si="1"/>
        <v>2.5489414099829</v>
      </c>
      <c r="K61">
        <v>1.5520948589395</v>
      </c>
    </row>
    <row r="62" spans="1:11">
      <c r="A62" s="5">
        <v>61</v>
      </c>
      <c r="B62" s="5">
        <v>1388</v>
      </c>
      <c r="C62" s="5">
        <v>1388</v>
      </c>
      <c r="D62" s="5">
        <v>960</v>
      </c>
      <c r="E62" s="5">
        <v>6530</v>
      </c>
      <c r="F62">
        <f t="shared" si="1"/>
        <v>2.61162350802198</v>
      </c>
      <c r="K62">
        <v>1.56809985572365</v>
      </c>
    </row>
    <row r="63" spans="1:11">
      <c r="A63" s="5">
        <v>62</v>
      </c>
      <c r="B63" s="5">
        <v>1473</v>
      </c>
      <c r="C63" s="5">
        <v>1473</v>
      </c>
      <c r="D63" s="5">
        <v>1023</v>
      </c>
      <c r="E63" s="5">
        <v>7001</v>
      </c>
      <c r="F63">
        <f t="shared" si="1"/>
        <v>2.67576086698029</v>
      </c>
      <c r="K63">
        <v>1.5839956</v>
      </c>
    </row>
    <row r="64" spans="1:11">
      <c r="A64" s="5">
        <v>63</v>
      </c>
      <c r="B64" s="5">
        <v>1563</v>
      </c>
      <c r="C64" s="5">
        <v>1563</v>
      </c>
      <c r="D64" s="5">
        <v>1080</v>
      </c>
      <c r="E64" s="5">
        <v>7501</v>
      </c>
      <c r="F64">
        <f t="shared" si="1"/>
        <v>2.74136298327906</v>
      </c>
      <c r="K64">
        <v>1.59977895104624</v>
      </c>
    </row>
    <row r="65" spans="1:11">
      <c r="A65" s="5">
        <v>64</v>
      </c>
      <c r="B65" s="5">
        <v>1660</v>
      </c>
      <c r="C65" s="5">
        <v>1660</v>
      </c>
      <c r="D65" s="5">
        <v>1145</v>
      </c>
      <c r="E65" s="5">
        <v>8045</v>
      </c>
      <c r="F65">
        <f t="shared" si="1"/>
        <v>2.80843926187044</v>
      </c>
      <c r="K65">
        <v>1.61544758064516</v>
      </c>
    </row>
    <row r="66" spans="1:11">
      <c r="A66" s="5">
        <v>65</v>
      </c>
      <c r="B66" s="5">
        <v>1758</v>
      </c>
      <c r="C66" s="5">
        <v>1758</v>
      </c>
      <c r="D66" s="5">
        <v>1218</v>
      </c>
      <c r="E66" s="5">
        <v>8604</v>
      </c>
      <c r="F66">
        <f t="shared" si="1"/>
        <v>2.87699901855</v>
      </c>
      <c r="K66">
        <v>1.63099987559914</v>
      </c>
    </row>
    <row r="67" spans="1:11">
      <c r="A67" s="5">
        <v>66</v>
      </c>
      <c r="B67" s="5">
        <v>1861</v>
      </c>
      <c r="C67" s="5">
        <v>1861</v>
      </c>
      <c r="D67" s="5">
        <v>1290</v>
      </c>
      <c r="E67" s="5">
        <v>9192</v>
      </c>
      <c r="F67">
        <f t="shared" si="1"/>
        <v>2.94705148217562</v>
      </c>
      <c r="K67">
        <v>1.64643484934622</v>
      </c>
    </row>
    <row r="68" spans="1:11">
      <c r="A68" s="5">
        <v>67</v>
      </c>
      <c r="B68" s="5">
        <v>1972</v>
      </c>
      <c r="C68" s="5">
        <v>1972</v>
      </c>
      <c r="D68" s="5">
        <v>1369</v>
      </c>
      <c r="E68" s="5">
        <v>9831</v>
      </c>
      <c r="F68">
        <f t="shared" ref="F68:F99" si="2">1+ROUND(A68/50,2)^G$1</f>
        <v>3.01860579679801</v>
      </c>
      <c r="K68">
        <v>1.66175206212252</v>
      </c>
    </row>
    <row r="69" spans="1:11">
      <c r="A69" s="5">
        <v>68</v>
      </c>
      <c r="B69" s="5">
        <v>2084</v>
      </c>
      <c r="C69" s="5">
        <v>2084</v>
      </c>
      <c r="D69" s="5">
        <v>1441</v>
      </c>
      <c r="E69" s="5">
        <v>10486</v>
      </c>
      <c r="F69">
        <f t="shared" si="2"/>
        <v>3.09167102370777</v>
      </c>
      <c r="K69">
        <v>1.67695154908798</v>
      </c>
    </row>
    <row r="70" spans="1:11">
      <c r="A70" s="5">
        <v>69</v>
      </c>
      <c r="B70" s="5">
        <v>2202</v>
      </c>
      <c r="C70" s="5">
        <v>2202</v>
      </c>
      <c r="D70" s="5">
        <v>1523</v>
      </c>
      <c r="E70" s="5">
        <v>11178</v>
      </c>
      <c r="F70">
        <f t="shared" si="2"/>
        <v>3.16625614340315</v>
      </c>
      <c r="K70">
        <v>1.69203375582418</v>
      </c>
    </row>
    <row r="71" spans="1:11">
      <c r="A71" s="5">
        <v>70</v>
      </c>
      <c r="B71" s="5">
        <v>2328</v>
      </c>
      <c r="C71" s="5">
        <v>2328</v>
      </c>
      <c r="D71" s="5">
        <v>1613</v>
      </c>
      <c r="E71" s="5">
        <v>11925</v>
      </c>
      <c r="F71">
        <f t="shared" si="2"/>
        <v>3.2423700574831</v>
      </c>
      <c r="K71">
        <v>1.70699948061819</v>
      </c>
    </row>
    <row r="72" spans="1:11">
      <c r="A72" s="5">
        <v>71</v>
      </c>
      <c r="B72" s="5">
        <v>2472</v>
      </c>
      <c r="C72" s="5">
        <v>2472</v>
      </c>
      <c r="D72" s="5">
        <v>1711</v>
      </c>
      <c r="E72" s="5">
        <v>12771</v>
      </c>
      <c r="F72">
        <f t="shared" si="2"/>
        <v>3.32002159046912</v>
      </c>
      <c r="K72">
        <v>1.72184982296253</v>
      </c>
    </row>
    <row r="73" spans="1:11">
      <c r="A73" s="5">
        <v>72</v>
      </c>
      <c r="B73" s="5">
        <v>2626</v>
      </c>
      <c r="C73" s="5">
        <v>2626</v>
      </c>
      <c r="D73" s="5">
        <v>1817</v>
      </c>
      <c r="E73" s="5">
        <v>13684</v>
      </c>
      <c r="F73">
        <f t="shared" si="2"/>
        <v>3.39921949155982</v>
      </c>
      <c r="K73">
        <v>1.73658613772455</v>
      </c>
    </row>
    <row r="74" spans="1:11">
      <c r="A74" s="5">
        <v>73</v>
      </c>
      <c r="B74" s="5">
        <v>2783</v>
      </c>
      <c r="C74" s="5">
        <v>2783</v>
      </c>
      <c r="D74" s="5">
        <v>1924</v>
      </c>
      <c r="E74" s="5">
        <v>14624</v>
      </c>
      <c r="F74">
        <f t="shared" si="2"/>
        <v>3.47997243632139</v>
      </c>
      <c r="K74">
        <v>1.75120999446693</v>
      </c>
    </row>
    <row r="75" spans="1:11">
      <c r="A75" s="5">
        <v>74</v>
      </c>
      <c r="B75" s="5">
        <v>2952</v>
      </c>
      <c r="C75" s="5">
        <v>2952</v>
      </c>
      <c r="D75" s="5">
        <v>2048</v>
      </c>
      <c r="E75" s="5">
        <v>15637</v>
      </c>
      <c r="F75">
        <f t="shared" si="2"/>
        <v>3.56228902831737</v>
      </c>
      <c r="K75">
        <v>1.76572314143246</v>
      </c>
    </row>
    <row r="76" spans="1:11">
      <c r="A76" s="5">
        <v>75</v>
      </c>
      <c r="B76" s="5">
        <v>3128</v>
      </c>
      <c r="C76" s="5">
        <v>3128</v>
      </c>
      <c r="D76" s="5">
        <v>2165</v>
      </c>
      <c r="E76" s="5">
        <v>16705</v>
      </c>
      <c r="F76">
        <f t="shared" si="2"/>
        <v>3.64617780068052</v>
      </c>
      <c r="K76">
        <v>1.78012747373935</v>
      </c>
    </row>
    <row r="77" spans="1:11">
      <c r="A77" s="5">
        <v>76</v>
      </c>
      <c r="B77" s="5">
        <v>3307</v>
      </c>
      <c r="C77" s="5">
        <v>3307</v>
      </c>
      <c r="D77" s="5">
        <v>2291</v>
      </c>
      <c r="E77" s="5">
        <v>17802</v>
      </c>
      <c r="F77">
        <f t="shared" si="2"/>
        <v>3.73164721762971</v>
      </c>
      <c r="K77">
        <v>1.79442500536711</v>
      </c>
    </row>
    <row r="78" spans="1:11">
      <c r="A78" s="5">
        <v>77</v>
      </c>
      <c r="B78" s="5">
        <v>3498</v>
      </c>
      <c r="C78" s="5">
        <v>3498</v>
      </c>
      <c r="D78" s="5">
        <v>2419</v>
      </c>
      <c r="E78" s="5">
        <v>18981</v>
      </c>
      <c r="F78">
        <f t="shared" si="2"/>
        <v>3.81870567593443</v>
      </c>
      <c r="K78">
        <v>1.80861784454605</v>
      </c>
    </row>
    <row r="79" spans="1:11">
      <c r="A79" s="5">
        <v>78</v>
      </c>
      <c r="B79" s="5">
        <v>3693</v>
      </c>
      <c r="C79" s="5">
        <v>3693</v>
      </c>
      <c r="D79" s="5">
        <v>2556</v>
      </c>
      <c r="E79" s="5">
        <v>20194</v>
      </c>
      <c r="F79">
        <f t="shared" si="2"/>
        <v>3.90736150632937</v>
      </c>
      <c r="K79">
        <v>1.82270817219622</v>
      </c>
    </row>
    <row r="80" spans="1:11">
      <c r="A80" s="5">
        <v>79</v>
      </c>
      <c r="B80" s="5">
        <v>3901</v>
      </c>
      <c r="C80" s="5">
        <v>3901</v>
      </c>
      <c r="D80" s="5">
        <v>2704</v>
      </c>
      <c r="E80" s="5">
        <v>21495</v>
      </c>
      <c r="F80">
        <f t="shared" si="2"/>
        <v>3.99762297488138</v>
      </c>
      <c r="K80">
        <v>1.83669822309237</v>
      </c>
    </row>
    <row r="81" spans="1:11">
      <c r="A81" s="5">
        <v>80</v>
      </c>
      <c r="B81" s="5">
        <v>4117</v>
      </c>
      <c r="C81" s="5">
        <v>4117</v>
      </c>
      <c r="D81" s="5">
        <v>2853</v>
      </c>
      <c r="E81" s="5">
        <v>22858</v>
      </c>
      <c r="F81">
        <f t="shared" si="2"/>
        <v>4.08949828431112</v>
      </c>
      <c r="K81">
        <v>1.85059026946108</v>
      </c>
    </row>
    <row r="82" spans="1:11">
      <c r="A82" s="5">
        <v>81</v>
      </c>
      <c r="B82" s="5">
        <v>4369</v>
      </c>
      <c r="C82" s="5">
        <v>4369</v>
      </c>
      <c r="D82" s="5">
        <v>3030</v>
      </c>
      <c r="E82" s="5">
        <v>24437</v>
      </c>
      <c r="F82">
        <f t="shared" si="2"/>
        <v>4.18299557527132</v>
      </c>
      <c r="K82">
        <v>1.86438660674369</v>
      </c>
    </row>
    <row r="83" spans="1:11">
      <c r="A83" s="5">
        <v>82</v>
      </c>
      <c r="B83" s="5">
        <v>4631</v>
      </c>
      <c r="C83" s="5">
        <v>4631</v>
      </c>
      <c r="D83" s="5">
        <v>3208</v>
      </c>
      <c r="E83" s="5">
        <v>26096</v>
      </c>
      <c r="F83">
        <f t="shared" si="2"/>
        <v>4.27812292758357</v>
      </c>
      <c r="K83">
        <v>1.8780895412844</v>
      </c>
    </row>
    <row r="84" spans="1:11">
      <c r="A84" s="5">
        <v>83</v>
      </c>
      <c r="B84" s="5">
        <v>4905</v>
      </c>
      <c r="C84" s="5">
        <v>4905</v>
      </c>
      <c r="D84" s="5">
        <v>3400</v>
      </c>
      <c r="E84" s="5">
        <v>27838</v>
      </c>
      <c r="F84">
        <f t="shared" si="2"/>
        <v>4.37488836143573</v>
      </c>
      <c r="K84">
        <v>1.89170137972674</v>
      </c>
    </row>
    <row r="85" spans="1:11">
      <c r="A85" s="5">
        <v>84</v>
      </c>
      <c r="B85" s="5">
        <v>5190</v>
      </c>
      <c r="C85" s="5">
        <v>5190</v>
      </c>
      <c r="D85" s="5">
        <v>3600</v>
      </c>
      <c r="E85" s="5">
        <v>29666</v>
      </c>
      <c r="F85">
        <f t="shared" si="2"/>
        <v>4.47329983854131</v>
      </c>
      <c r="K85">
        <v>1.90522441992324</v>
      </c>
    </row>
    <row r="86" spans="1:11">
      <c r="A86" s="5">
        <v>85</v>
      </c>
      <c r="B86" s="5">
        <v>5493</v>
      </c>
      <c r="C86" s="5">
        <v>5493</v>
      </c>
      <c r="D86" s="5">
        <v>3802</v>
      </c>
      <c r="E86" s="5">
        <v>31618</v>
      </c>
      <c r="F86">
        <f t="shared" si="2"/>
        <v>4.57336526326278</v>
      </c>
      <c r="K86">
        <v>1.91866094318351</v>
      </c>
    </row>
    <row r="87" spans="1:11">
      <c r="A87" s="5">
        <v>86</v>
      </c>
      <c r="B87" s="5">
        <v>5802</v>
      </c>
      <c r="C87" s="5">
        <v>5802</v>
      </c>
      <c r="D87" s="5">
        <v>4018</v>
      </c>
      <c r="E87" s="5">
        <v>33629</v>
      </c>
      <c r="F87">
        <f t="shared" si="2"/>
        <v>4.67509248370024</v>
      </c>
      <c r="K87">
        <v>1.9320132077038</v>
      </c>
    </row>
    <row r="88" spans="1:11">
      <c r="A88" s="5">
        <v>87</v>
      </c>
      <c r="B88" s="5">
        <v>6123</v>
      </c>
      <c r="C88" s="5">
        <v>6123</v>
      </c>
      <c r="D88" s="5">
        <v>4243</v>
      </c>
      <c r="E88" s="5">
        <v>35737</v>
      </c>
      <c r="F88">
        <f t="shared" si="2"/>
        <v>4.77848929274677</v>
      </c>
      <c r="K88">
        <v>1.94528344303798</v>
      </c>
    </row>
    <row r="89" spans="1:11">
      <c r="A89" s="5">
        <v>88</v>
      </c>
      <c r="B89" s="5">
        <v>6458</v>
      </c>
      <c r="C89" s="5">
        <v>6458</v>
      </c>
      <c r="D89" s="5">
        <v>4471</v>
      </c>
      <c r="E89" s="5">
        <v>37943</v>
      </c>
      <c r="F89">
        <f t="shared" si="2"/>
        <v>4.88356342911215</v>
      </c>
      <c r="K89">
        <v>1.95847384548474</v>
      </c>
    </row>
    <row r="90" spans="1:11">
      <c r="A90" s="5">
        <v>89</v>
      </c>
      <c r="B90" s="5">
        <v>6805</v>
      </c>
      <c r="C90" s="5">
        <v>6805</v>
      </c>
      <c r="D90" s="5">
        <v>4714</v>
      </c>
      <c r="E90" s="5">
        <v>40254</v>
      </c>
      <c r="F90">
        <f t="shared" si="2"/>
        <v>4.99032257831597</v>
      </c>
      <c r="K90">
        <v>1.97158657427959</v>
      </c>
    </row>
    <row r="91" spans="1:11">
      <c r="A91" s="5">
        <v>90</v>
      </c>
      <c r="B91" s="5">
        <v>7173</v>
      </c>
      <c r="C91" s="5">
        <v>7173</v>
      </c>
      <c r="D91" s="5">
        <v>4980</v>
      </c>
      <c r="E91" s="5">
        <v>42709</v>
      </c>
      <c r="F91">
        <f t="shared" si="2"/>
        <v>5.09877437365153</v>
      </c>
      <c r="K91">
        <v>1.98462374849216</v>
      </c>
    </row>
    <row r="92" spans="1:11">
      <c r="A92" s="5">
        <v>91</v>
      </c>
      <c r="B92" s="5">
        <v>7597</v>
      </c>
      <c r="C92" s="5">
        <v>7597</v>
      </c>
      <c r="D92" s="5">
        <v>5271</v>
      </c>
      <c r="E92" s="5">
        <v>45533</v>
      </c>
      <c r="F92">
        <f t="shared" si="2"/>
        <v>5.20892639712169</v>
      </c>
      <c r="K92">
        <v>1.99766092270473</v>
      </c>
    </row>
    <row r="93" spans="1:11">
      <c r="A93" s="5">
        <v>92</v>
      </c>
      <c r="B93" s="5">
        <v>8046</v>
      </c>
      <c r="C93" s="5">
        <v>8046</v>
      </c>
      <c r="D93" s="5">
        <v>5581</v>
      </c>
      <c r="E93" s="5">
        <v>48536</v>
      </c>
      <c r="F93">
        <f t="shared" si="2"/>
        <v>5.32078618034774</v>
      </c>
      <c r="K93">
        <v>2.01069809691729</v>
      </c>
    </row>
    <row r="94" spans="1:11">
      <c r="A94" s="5">
        <v>93</v>
      </c>
      <c r="B94" s="5">
        <v>8505</v>
      </c>
      <c r="C94" s="5">
        <v>8505</v>
      </c>
      <c r="D94" s="5">
        <v>5895</v>
      </c>
      <c r="E94" s="5">
        <v>51638</v>
      </c>
      <c r="F94">
        <f t="shared" si="2"/>
        <v>5.43436120545238</v>
      </c>
      <c r="K94">
        <v>2.02373527112986</v>
      </c>
    </row>
    <row r="95" spans="1:11">
      <c r="A95" s="5">
        <v>94</v>
      </c>
      <c r="B95" s="5">
        <v>8990</v>
      </c>
      <c r="C95" s="5">
        <v>8990</v>
      </c>
      <c r="D95" s="5">
        <v>6238</v>
      </c>
      <c r="E95" s="5">
        <v>54932</v>
      </c>
      <c r="F95">
        <f t="shared" si="2"/>
        <v>5.5496589059179</v>
      </c>
      <c r="K95">
        <v>2.03677244534242</v>
      </c>
    </row>
    <row r="96" spans="1:11">
      <c r="A96" s="5">
        <v>95</v>
      </c>
      <c r="B96" s="5">
        <v>9485</v>
      </c>
      <c r="C96" s="5">
        <v>9485</v>
      </c>
      <c r="D96" s="5">
        <v>6577</v>
      </c>
      <c r="E96" s="5">
        <v>58331</v>
      </c>
      <c r="F96">
        <f t="shared" si="2"/>
        <v>5.66668666742032</v>
      </c>
      <c r="K96">
        <v>2.04980961955499</v>
      </c>
    </row>
    <row r="97" spans="1:11">
      <c r="A97" s="5">
        <v>96</v>
      </c>
      <c r="B97" s="5">
        <v>10008</v>
      </c>
      <c r="C97" s="5">
        <v>10008</v>
      </c>
      <c r="D97" s="5">
        <v>6946</v>
      </c>
      <c r="E97" s="5">
        <v>61937</v>
      </c>
      <c r="F97">
        <f t="shared" si="2"/>
        <v>5.78545182864062</v>
      </c>
      <c r="K97">
        <v>2.06284679376755</v>
      </c>
    </row>
    <row r="98" spans="1:11">
      <c r="A98" s="5">
        <v>97</v>
      </c>
      <c r="B98" s="5">
        <v>10542</v>
      </c>
      <c r="C98" s="5">
        <v>10542</v>
      </c>
      <c r="D98" s="5">
        <v>7313</v>
      </c>
      <c r="E98" s="5">
        <v>65656</v>
      </c>
      <c r="F98">
        <f t="shared" si="2"/>
        <v>5.90596168205383</v>
      </c>
      <c r="K98">
        <v>2.07588396798012</v>
      </c>
    </row>
    <row r="99" spans="1:11">
      <c r="A99" s="5">
        <v>98</v>
      </c>
      <c r="B99" s="5">
        <v>11105</v>
      </c>
      <c r="C99" s="5">
        <v>11105</v>
      </c>
      <c r="D99" s="5">
        <v>7710</v>
      </c>
      <c r="E99" s="5">
        <v>69594</v>
      </c>
      <c r="F99">
        <f t="shared" si="2"/>
        <v>6.02822347469675</v>
      </c>
      <c r="K99">
        <v>2.08892114219268</v>
      </c>
    </row>
    <row r="100" spans="1:11">
      <c r="A100" s="5">
        <v>99</v>
      </c>
      <c r="B100" s="5">
        <v>11680</v>
      </c>
      <c r="C100" s="5">
        <v>11680</v>
      </c>
      <c r="D100" s="5">
        <v>8105</v>
      </c>
      <c r="E100" s="5">
        <v>73653</v>
      </c>
      <c r="F100">
        <f t="shared" ref="F100:F131" si="3">1+ROUND(A100/50,2)^G$1</f>
        <v>6.15224440891521</v>
      </c>
      <c r="K100">
        <v>2.10195831640525</v>
      </c>
    </row>
    <row r="101" spans="1:11">
      <c r="A101" s="5">
        <v>100</v>
      </c>
      <c r="B101" s="5">
        <v>12285</v>
      </c>
      <c r="C101" s="5">
        <v>12285</v>
      </c>
      <c r="D101" s="5">
        <v>8523</v>
      </c>
      <c r="E101" s="5">
        <v>77948</v>
      </c>
      <c r="F101">
        <f t="shared" si="3"/>
        <v>6.27803164309158</v>
      </c>
      <c r="K101">
        <v>2.11499549061781</v>
      </c>
    </row>
    <row r="102" spans="1:11">
      <c r="A102" s="5">
        <v>101</v>
      </c>
      <c r="B102" s="5">
        <v>12985</v>
      </c>
      <c r="C102" s="5">
        <v>12985</v>
      </c>
      <c r="D102" s="5">
        <v>9011</v>
      </c>
      <c r="E102" s="5">
        <v>82900</v>
      </c>
      <c r="F102">
        <f t="shared" si="3"/>
        <v>6.40559229235313</v>
      </c>
      <c r="K102">
        <v>2.12803266483038</v>
      </c>
    </row>
    <row r="103" spans="1:11">
      <c r="A103" s="5">
        <v>102</v>
      </c>
      <c r="B103" s="5">
        <v>13722</v>
      </c>
      <c r="C103" s="5">
        <v>13722</v>
      </c>
      <c r="D103" s="5">
        <v>9527</v>
      </c>
      <c r="E103" s="5">
        <v>88139</v>
      </c>
      <c r="F103">
        <f t="shared" si="3"/>
        <v>6.53493342926218</v>
      </c>
      <c r="K103">
        <v>2.14106983904295</v>
      </c>
    </row>
    <row r="104" spans="1:11">
      <c r="A104" s="5">
        <v>103</v>
      </c>
      <c r="B104" s="5">
        <v>14486</v>
      </c>
      <c r="C104" s="5">
        <v>14486</v>
      </c>
      <c r="D104" s="5">
        <v>10043</v>
      </c>
      <c r="E104" s="5">
        <v>93613</v>
      </c>
      <c r="F104">
        <f t="shared" si="3"/>
        <v>6.66606208448835</v>
      </c>
      <c r="K104">
        <v>2.15410701325551</v>
      </c>
    </row>
    <row r="105" spans="1:11">
      <c r="A105" s="5">
        <v>104</v>
      </c>
      <c r="B105" s="5">
        <v>15278</v>
      </c>
      <c r="C105" s="5">
        <v>15278</v>
      </c>
      <c r="D105" s="5">
        <v>10598</v>
      </c>
      <c r="E105" s="5">
        <v>99331</v>
      </c>
      <c r="F105">
        <f t="shared" si="3"/>
        <v>6.7989852474639</v>
      </c>
      <c r="K105">
        <v>2.16714418746808</v>
      </c>
    </row>
    <row r="106" spans="1:11">
      <c r="A106" s="5">
        <v>105</v>
      </c>
      <c r="B106" s="5">
        <v>16099</v>
      </c>
      <c r="C106" s="5">
        <v>16099</v>
      </c>
      <c r="D106" s="5">
        <v>11174</v>
      </c>
      <c r="E106" s="5">
        <v>105298</v>
      </c>
      <c r="F106">
        <f t="shared" si="3"/>
        <v>6.93370986702246</v>
      </c>
      <c r="K106">
        <v>2.18018136168064</v>
      </c>
    </row>
    <row r="107" spans="1:11">
      <c r="A107" s="5">
        <v>106</v>
      </c>
      <c r="B107" s="5">
        <v>16950</v>
      </c>
      <c r="C107" s="5">
        <v>16950</v>
      </c>
      <c r="D107" s="5">
        <v>11749</v>
      </c>
      <c r="E107" s="5">
        <v>111525</v>
      </c>
      <c r="F107">
        <f t="shared" si="3"/>
        <v>7.07024285202187</v>
      </c>
      <c r="K107">
        <v>2.19321853589321</v>
      </c>
    </row>
    <row r="108" spans="1:11">
      <c r="A108" s="5">
        <v>107</v>
      </c>
      <c r="B108" s="5">
        <v>17831</v>
      </c>
      <c r="C108" s="5">
        <v>17831</v>
      </c>
      <c r="D108" s="5">
        <v>12366</v>
      </c>
      <c r="E108" s="5">
        <v>118021</v>
      </c>
      <c r="F108">
        <f t="shared" si="3"/>
        <v>7.20859107195165</v>
      </c>
      <c r="K108">
        <v>2.20625571010577</v>
      </c>
    </row>
    <row r="109" spans="1:11">
      <c r="A109" s="5">
        <v>108</v>
      </c>
      <c r="B109" s="5">
        <v>18743</v>
      </c>
      <c r="C109" s="5">
        <v>18743</v>
      </c>
      <c r="D109" s="5">
        <v>13016</v>
      </c>
      <c r="E109" s="5">
        <v>124791</v>
      </c>
      <c r="F109">
        <f t="shared" si="3"/>
        <v>7.34876135752558</v>
      </c>
      <c r="K109">
        <v>2.21929288431834</v>
      </c>
    </row>
    <row r="110" spans="1:11">
      <c r="A110" s="5">
        <v>109</v>
      </c>
      <c r="B110" s="5">
        <v>19687</v>
      </c>
      <c r="C110" s="5">
        <v>19687</v>
      </c>
      <c r="D110" s="5">
        <v>13654</v>
      </c>
      <c r="E110" s="5">
        <v>131844</v>
      </c>
      <c r="F110">
        <f t="shared" si="3"/>
        <v>7.49076050125998</v>
      </c>
      <c r="K110">
        <v>2.2323300585309</v>
      </c>
    </row>
    <row r="111" spans="1:11">
      <c r="A111" s="5">
        <v>110</v>
      </c>
      <c r="B111" s="5">
        <v>20663</v>
      </c>
      <c r="C111" s="5">
        <v>20663</v>
      </c>
      <c r="D111" s="5">
        <v>14338</v>
      </c>
      <c r="E111" s="5">
        <v>139190</v>
      </c>
      <c r="F111">
        <f t="shared" si="3"/>
        <v>7.63459525803801</v>
      </c>
      <c r="K111">
        <v>2.24536723274347</v>
      </c>
    </row>
    <row r="112" spans="1:11">
      <c r="A112" s="5">
        <v>111</v>
      </c>
      <c r="B112" s="5">
        <v>21816</v>
      </c>
      <c r="C112" s="5">
        <v>21816</v>
      </c>
      <c r="D112" s="5">
        <v>15141</v>
      </c>
      <c r="E112" s="5">
        <v>147808</v>
      </c>
      <c r="F112">
        <f t="shared" si="3"/>
        <v>7.78027234566066</v>
      </c>
      <c r="K112">
        <v>2.25840440695603</v>
      </c>
    </row>
    <row r="113" spans="1:11">
      <c r="A113" s="5">
        <v>112</v>
      </c>
      <c r="B113" s="5">
        <v>23010</v>
      </c>
      <c r="C113" s="5">
        <v>23010</v>
      </c>
      <c r="D113" s="5">
        <v>15960</v>
      </c>
      <c r="E113" s="5">
        <v>156798</v>
      </c>
      <c r="F113">
        <f t="shared" si="3"/>
        <v>7.92779844538467</v>
      </c>
      <c r="K113">
        <v>2.2714415811686</v>
      </c>
    </row>
    <row r="114" spans="1:11">
      <c r="A114" s="5">
        <v>113</v>
      </c>
      <c r="B114" s="5">
        <v>24245</v>
      </c>
      <c r="C114" s="5">
        <v>24245</v>
      </c>
      <c r="D114" s="5">
        <v>16820</v>
      </c>
      <c r="E114" s="5">
        <v>166166</v>
      </c>
      <c r="F114">
        <f t="shared" si="3"/>
        <v>8.07718020244786</v>
      </c>
      <c r="K114">
        <v>2.28447875538116</v>
      </c>
    </row>
    <row r="115" spans="1:11">
      <c r="A115" s="5">
        <v>114</v>
      </c>
      <c r="B115" s="5">
        <v>25524</v>
      </c>
      <c r="C115" s="5">
        <v>25524</v>
      </c>
      <c r="D115" s="5">
        <v>17723</v>
      </c>
      <c r="E115" s="5">
        <v>175930</v>
      </c>
      <c r="F115">
        <f t="shared" si="3"/>
        <v>8.22842422658243</v>
      </c>
      <c r="K115">
        <v>2.29751592959373</v>
      </c>
    </row>
    <row r="116" spans="1:11">
      <c r="A116" s="5">
        <v>115</v>
      </c>
      <c r="B116" s="5">
        <v>26860</v>
      </c>
      <c r="C116" s="5">
        <v>26860</v>
      </c>
      <c r="D116" s="5">
        <v>18644</v>
      </c>
      <c r="E116" s="5">
        <v>186189</v>
      </c>
      <c r="F116">
        <f t="shared" si="3"/>
        <v>8.38153709251633</v>
      </c>
      <c r="K116">
        <v>2.3105531038063</v>
      </c>
    </row>
    <row r="117" spans="1:11">
      <c r="A117" s="5">
        <v>116</v>
      </c>
      <c r="B117" s="5">
        <v>28228</v>
      </c>
      <c r="C117" s="5">
        <v>28228</v>
      </c>
      <c r="D117" s="5">
        <v>19583</v>
      </c>
      <c r="E117" s="5">
        <v>196773</v>
      </c>
      <c r="F117">
        <f t="shared" si="3"/>
        <v>8.5365253404633</v>
      </c>
      <c r="K117">
        <v>2.32359027801886</v>
      </c>
    </row>
    <row r="118" spans="1:11">
      <c r="A118" s="5">
        <v>117</v>
      </c>
      <c r="B118" s="5">
        <v>29642</v>
      </c>
      <c r="C118" s="5">
        <v>29642</v>
      </c>
      <c r="D118" s="5">
        <v>20567</v>
      </c>
      <c r="E118" s="5">
        <v>207789</v>
      </c>
      <c r="F118">
        <f t="shared" si="3"/>
        <v>8.69339547660183</v>
      </c>
      <c r="K118">
        <v>2.33662745223143</v>
      </c>
    </row>
    <row r="119" spans="1:11">
      <c r="A119" s="5">
        <v>118</v>
      </c>
      <c r="B119" s="5">
        <v>31103</v>
      </c>
      <c r="C119" s="5">
        <v>31103</v>
      </c>
      <c r="D119" s="5">
        <v>21598</v>
      </c>
      <c r="E119" s="5">
        <v>219245</v>
      </c>
      <c r="F119">
        <f t="shared" si="3"/>
        <v>8.85215397354347</v>
      </c>
      <c r="K119">
        <v>2.34966462644399</v>
      </c>
    </row>
    <row r="120" spans="1:11">
      <c r="A120" s="5">
        <v>119</v>
      </c>
      <c r="B120" s="5">
        <v>32611</v>
      </c>
      <c r="C120" s="5">
        <v>32611</v>
      </c>
      <c r="D120" s="5">
        <v>22619</v>
      </c>
      <c r="E120" s="5">
        <v>231155</v>
      </c>
      <c r="F120">
        <f t="shared" si="3"/>
        <v>9.01280727079067</v>
      </c>
      <c r="K120">
        <v>2.36270180065656</v>
      </c>
    </row>
    <row r="121" spans="1:11">
      <c r="A121" s="5">
        <v>120</v>
      </c>
      <c r="B121" s="5">
        <v>34184</v>
      </c>
      <c r="C121" s="5">
        <v>34184</v>
      </c>
      <c r="D121" s="5">
        <v>23718</v>
      </c>
      <c r="E121" s="5">
        <v>243637</v>
      </c>
      <c r="F121">
        <f t="shared" si="3"/>
        <v>9.17536177518463</v>
      </c>
      <c r="K121">
        <v>2.37573897486912</v>
      </c>
    </row>
    <row r="122" spans="1:11">
      <c r="A122" s="5">
        <v>121</v>
      </c>
      <c r="B122" s="5">
        <v>36034</v>
      </c>
      <c r="C122" s="5">
        <v>36034</v>
      </c>
      <c r="D122" s="5">
        <v>24989</v>
      </c>
      <c r="E122" s="5">
        <v>258234</v>
      </c>
      <c r="F122">
        <f t="shared" si="3"/>
        <v>9.33982386134336</v>
      </c>
      <c r="K122">
        <v>2.38877614908169</v>
      </c>
    </row>
    <row r="123" spans="1:11">
      <c r="A123" s="5">
        <v>122</v>
      </c>
      <c r="B123" s="5">
        <v>37947</v>
      </c>
      <c r="C123" s="5">
        <v>37947</v>
      </c>
      <c r="D123" s="5">
        <v>26317</v>
      </c>
      <c r="E123" s="5">
        <v>273427</v>
      </c>
      <c r="F123">
        <f t="shared" si="3"/>
        <v>9.50619987209024</v>
      </c>
      <c r="K123">
        <v>2.40181332329425</v>
      </c>
    </row>
    <row r="124" spans="1:11">
      <c r="A124" s="5">
        <v>123</v>
      </c>
      <c r="B124" s="5">
        <v>39923</v>
      </c>
      <c r="C124" s="5">
        <v>39923</v>
      </c>
      <c r="D124" s="5">
        <v>27690</v>
      </c>
      <c r="E124" s="5">
        <v>289229</v>
      </c>
      <c r="F124">
        <f t="shared" si="3"/>
        <v>9.67449611887348</v>
      </c>
      <c r="K124">
        <v>2.41485049750682</v>
      </c>
    </row>
    <row r="125" spans="1:11">
      <c r="A125" s="5">
        <v>124</v>
      </c>
      <c r="B125" s="5">
        <v>41965</v>
      </c>
      <c r="C125" s="5">
        <v>41965</v>
      </c>
      <c r="D125" s="5">
        <v>29109</v>
      </c>
      <c r="E125" s="5">
        <v>305659</v>
      </c>
      <c r="F125">
        <f t="shared" si="3"/>
        <v>9.84471888217655</v>
      </c>
      <c r="K125">
        <v>2.42788767171938</v>
      </c>
    </row>
    <row r="126" spans="1:11">
      <c r="A126" s="5">
        <v>125</v>
      </c>
      <c r="B126" s="5">
        <v>44072</v>
      </c>
      <c r="C126" s="5">
        <v>44072</v>
      </c>
      <c r="D126" s="5">
        <v>30573</v>
      </c>
      <c r="E126" s="5">
        <v>322734</v>
      </c>
      <c r="F126">
        <f t="shared" si="3"/>
        <v>10.0168744119201</v>
      </c>
      <c r="K126">
        <v>2.44092484593195</v>
      </c>
    </row>
    <row r="127" spans="1:11">
      <c r="A127" s="5">
        <v>126</v>
      </c>
      <c r="B127" s="5">
        <v>46248</v>
      </c>
      <c r="C127" s="5">
        <v>46248</v>
      </c>
      <c r="D127" s="5">
        <v>32084</v>
      </c>
      <c r="E127" s="5">
        <v>340473</v>
      </c>
      <c r="F127">
        <f t="shared" si="3"/>
        <v>10.1909689278552</v>
      </c>
      <c r="K127">
        <v>2.45396202014452</v>
      </c>
    </row>
    <row r="128" spans="1:11">
      <c r="A128" s="5">
        <v>127</v>
      </c>
      <c r="B128" s="5">
        <v>48492</v>
      </c>
      <c r="C128" s="5">
        <v>48492</v>
      </c>
      <c r="D128" s="5">
        <v>33643</v>
      </c>
      <c r="E128" s="5">
        <v>358892</v>
      </c>
      <c r="F128">
        <f t="shared" si="3"/>
        <v>10.367008619949</v>
      </c>
      <c r="K128">
        <v>2.46699919435708</v>
      </c>
    </row>
    <row r="129" spans="1:11">
      <c r="A129" s="5">
        <v>128</v>
      </c>
      <c r="B129" s="5">
        <v>50807</v>
      </c>
      <c r="C129" s="5">
        <v>50807</v>
      </c>
      <c r="D129" s="5">
        <v>35252</v>
      </c>
      <c r="E129" s="5">
        <v>378010</v>
      </c>
      <c r="F129">
        <f t="shared" si="3"/>
        <v>10.5449996487614</v>
      </c>
      <c r="K129">
        <v>2.48003636856965</v>
      </c>
    </row>
    <row r="130" spans="1:11">
      <c r="A130" s="5">
        <v>129</v>
      </c>
      <c r="B130" s="5">
        <v>53193</v>
      </c>
      <c r="C130" s="5">
        <v>53193</v>
      </c>
      <c r="D130" s="5">
        <v>36910</v>
      </c>
      <c r="E130" s="5">
        <v>397847</v>
      </c>
      <c r="F130">
        <f t="shared" si="3"/>
        <v>10.7249481458154</v>
      </c>
      <c r="K130">
        <v>2.49307354278221</v>
      </c>
    </row>
    <row r="131" spans="1:11">
      <c r="A131" s="5">
        <v>130</v>
      </c>
      <c r="B131" s="5">
        <v>55672</v>
      </c>
      <c r="C131" s="5">
        <v>55672</v>
      </c>
      <c r="D131" s="5">
        <v>38656</v>
      </c>
      <c r="E131" s="5">
        <v>418561</v>
      </c>
      <c r="F131">
        <f t="shared" si="3"/>
        <v>10.9068602139588</v>
      </c>
      <c r="K131">
        <v>2.50611071699478</v>
      </c>
    </row>
    <row r="132" spans="1:11">
      <c r="A132" s="5">
        <v>131</v>
      </c>
      <c r="B132" s="5">
        <v>58586</v>
      </c>
      <c r="C132" s="5">
        <v>58586</v>
      </c>
      <c r="D132" s="5">
        <v>40646</v>
      </c>
      <c r="E132" s="5">
        <v>442765</v>
      </c>
      <c r="F132">
        <f t="shared" ref="F132:F163" si="4">1+ROUND(A132/50,2)^G$1</f>
        <v>11.090741927719</v>
      </c>
      <c r="K132">
        <v>2.51914789120734</v>
      </c>
    </row>
    <row r="133" spans="1:11">
      <c r="A133" s="5">
        <v>132</v>
      </c>
      <c r="B133" s="5">
        <v>61613</v>
      </c>
      <c r="C133" s="5">
        <v>61613</v>
      </c>
      <c r="D133" s="5">
        <v>42757</v>
      </c>
      <c r="E133" s="5">
        <v>468049</v>
      </c>
      <c r="F133">
        <f t="shared" si="4"/>
        <v>11.2765993336513</v>
      </c>
      <c r="K133">
        <v>2.53218506541991</v>
      </c>
    </row>
    <row r="134" spans="1:11">
      <c r="A134" s="5">
        <v>133</v>
      </c>
      <c r="B134" s="5">
        <v>64735</v>
      </c>
      <c r="C134" s="5">
        <v>64735</v>
      </c>
      <c r="D134" s="5">
        <v>44914</v>
      </c>
      <c r="E134" s="5">
        <v>494300</v>
      </c>
      <c r="F134">
        <f t="shared" si="4"/>
        <v>11.4644384506789</v>
      </c>
      <c r="K134">
        <v>2.54522223963247</v>
      </c>
    </row>
    <row r="135" spans="1:11">
      <c r="A135" s="5">
        <v>134</v>
      </c>
      <c r="B135" s="5">
        <v>67955</v>
      </c>
      <c r="C135" s="5">
        <v>67955</v>
      </c>
      <c r="D135" s="5">
        <v>47159</v>
      </c>
      <c r="E135" s="5">
        <v>521540</v>
      </c>
      <c r="F135">
        <f t="shared" si="4"/>
        <v>11.654265270428</v>
      </c>
      <c r="K135">
        <v>2.55825941384504</v>
      </c>
    </row>
    <row r="136" spans="1:11">
      <c r="A136" s="5">
        <v>135</v>
      </c>
      <c r="B136" s="5">
        <v>71273</v>
      </c>
      <c r="C136" s="5">
        <v>71273</v>
      </c>
      <c r="D136" s="5">
        <v>49453</v>
      </c>
      <c r="E136" s="5">
        <v>549795</v>
      </c>
      <c r="F136">
        <f t="shared" si="4"/>
        <v>11.8460857575549</v>
      </c>
      <c r="K136">
        <v>2.5712965880576</v>
      </c>
    </row>
    <row r="137" spans="1:11">
      <c r="A137" s="5">
        <v>136</v>
      </c>
      <c r="B137" s="5">
        <v>74693</v>
      </c>
      <c r="C137" s="5">
        <v>74693</v>
      </c>
      <c r="D137" s="5">
        <v>51837</v>
      </c>
      <c r="E137" s="5">
        <v>579095</v>
      </c>
      <c r="F137">
        <f t="shared" si="4"/>
        <v>12.0399058500673</v>
      </c>
      <c r="K137">
        <v>2.58433376227017</v>
      </c>
    </row>
    <row r="138" spans="1:11">
      <c r="A138" s="5">
        <v>137</v>
      </c>
      <c r="B138" s="5">
        <v>78215</v>
      </c>
      <c r="C138" s="5">
        <v>78215</v>
      </c>
      <c r="D138" s="5">
        <v>54272</v>
      </c>
      <c r="E138" s="5">
        <v>609465</v>
      </c>
      <c r="F138">
        <f t="shared" si="4"/>
        <v>12.23573145964</v>
      </c>
      <c r="K138">
        <v>2.59737093648274</v>
      </c>
    </row>
    <row r="139" spans="1:11">
      <c r="A139" s="5">
        <v>138</v>
      </c>
      <c r="B139" s="5">
        <v>81843</v>
      </c>
      <c r="C139" s="5">
        <v>81843</v>
      </c>
      <c r="D139" s="5">
        <v>56801</v>
      </c>
      <c r="E139" s="5">
        <v>640931</v>
      </c>
      <c r="F139">
        <f t="shared" si="4"/>
        <v>12.4335684719233</v>
      </c>
      <c r="K139">
        <v>2.6104081106953</v>
      </c>
    </row>
    <row r="140" spans="1:11">
      <c r="A140" s="5">
        <v>139</v>
      </c>
      <c r="B140" s="5">
        <v>85577</v>
      </c>
      <c r="C140" s="5">
        <v>85577</v>
      </c>
      <c r="D140" s="5">
        <v>59382</v>
      </c>
      <c r="E140" s="5">
        <v>673525</v>
      </c>
      <c r="F140">
        <f t="shared" si="4"/>
        <v>12.6334227468469</v>
      </c>
      <c r="K140">
        <v>2.62344528490787</v>
      </c>
    </row>
    <row r="141" spans="1:11">
      <c r="A141" s="5">
        <v>140</v>
      </c>
      <c r="B141" s="5">
        <v>89420</v>
      </c>
      <c r="C141" s="5">
        <v>89420</v>
      </c>
      <c r="D141" s="5">
        <v>62062</v>
      </c>
      <c r="E141" s="5">
        <v>707268</v>
      </c>
      <c r="F141">
        <f t="shared" si="4"/>
        <v>12.8353001189169</v>
      </c>
      <c r="K141">
        <v>2.63648245912043</v>
      </c>
    </row>
    <row r="142" spans="1:11">
      <c r="A142" s="5">
        <v>141</v>
      </c>
      <c r="B142" s="5">
        <v>93984</v>
      </c>
      <c r="C142" s="5">
        <v>93984</v>
      </c>
      <c r="D142" s="5">
        <v>65240</v>
      </c>
      <c r="E142" s="5">
        <v>747037</v>
      </c>
      <c r="F142">
        <f t="shared" si="4"/>
        <v>13.0392063975084</v>
      </c>
      <c r="K142">
        <v>2.649519633333</v>
      </c>
    </row>
    <row r="143" spans="1:11">
      <c r="A143" s="5">
        <v>142</v>
      </c>
      <c r="B143" s="5">
        <v>98709</v>
      </c>
      <c r="C143" s="5">
        <v>98709</v>
      </c>
      <c r="D143" s="5">
        <v>68515</v>
      </c>
      <c r="E143" s="5">
        <v>788455</v>
      </c>
      <c r="F143">
        <f t="shared" si="4"/>
        <v>13.2451473671517</v>
      </c>
      <c r="K143">
        <v>2.66255680754556</v>
      </c>
    </row>
    <row r="144" spans="1:11">
      <c r="A144" s="5">
        <v>143</v>
      </c>
      <c r="B144" s="5">
        <v>103575</v>
      </c>
      <c r="C144" s="5">
        <v>103575</v>
      </c>
      <c r="D144" s="5">
        <v>71888</v>
      </c>
      <c r="E144" s="5">
        <v>831377</v>
      </c>
      <c r="F144">
        <f t="shared" si="4"/>
        <v>13.4531287878139</v>
      </c>
      <c r="K144">
        <v>2.67559398175813</v>
      </c>
    </row>
    <row r="145" spans="1:11">
      <c r="A145" s="5">
        <v>144</v>
      </c>
      <c r="B145" s="5">
        <v>108585</v>
      </c>
      <c r="C145" s="5">
        <v>108585</v>
      </c>
      <c r="D145" s="5">
        <v>75385</v>
      </c>
      <c r="E145" s="5">
        <v>875840</v>
      </c>
      <c r="F145">
        <f t="shared" si="4"/>
        <v>13.6631563951748</v>
      </c>
      <c r="K145">
        <v>2.68863115597069</v>
      </c>
    </row>
    <row r="146" spans="1:11">
      <c r="A146" s="5">
        <v>145</v>
      </c>
      <c r="B146" s="5">
        <v>113742</v>
      </c>
      <c r="C146" s="5">
        <v>113742</v>
      </c>
      <c r="D146" s="5">
        <v>78959</v>
      </c>
      <c r="E146" s="5">
        <v>921885</v>
      </c>
      <c r="F146">
        <f t="shared" si="4"/>
        <v>13.8752359008985</v>
      </c>
      <c r="K146">
        <v>2.70166833018326</v>
      </c>
    </row>
    <row r="147" spans="1:11">
      <c r="A147" s="5">
        <v>146</v>
      </c>
      <c r="B147" s="5">
        <v>119023</v>
      </c>
      <c r="C147" s="5">
        <v>119023</v>
      </c>
      <c r="D147" s="5">
        <v>82637</v>
      </c>
      <c r="E147" s="5">
        <v>969337</v>
      </c>
      <c r="F147">
        <f t="shared" si="4"/>
        <v>14.0893729928992</v>
      </c>
      <c r="K147">
        <v>2.71470550439582</v>
      </c>
    </row>
    <row r="148" spans="1:6">
      <c r="A148" s="5">
        <v>147</v>
      </c>
      <c r="B148" s="5">
        <v>124480</v>
      </c>
      <c r="C148" s="5">
        <v>124480</v>
      </c>
      <c r="D148" s="5">
        <v>86420</v>
      </c>
      <c r="E148" s="5">
        <v>373441</v>
      </c>
      <c r="F148">
        <f t="shared" si="4"/>
        <v>14.3055733356032</v>
      </c>
    </row>
    <row r="149" spans="1:6">
      <c r="A149" s="5">
        <v>148</v>
      </c>
      <c r="B149" s="5">
        <v>130092</v>
      </c>
      <c r="C149" s="5">
        <v>130092</v>
      </c>
      <c r="D149" s="5">
        <v>90337</v>
      </c>
      <c r="E149" s="5">
        <v>390278</v>
      </c>
      <c r="F149">
        <f t="shared" si="4"/>
        <v>14.5238425702054</v>
      </c>
    </row>
    <row r="150" spans="1:6">
      <c r="A150" s="5">
        <v>149</v>
      </c>
      <c r="B150" s="5">
        <v>135862</v>
      </c>
      <c r="C150" s="5">
        <v>135862</v>
      </c>
      <c r="D150" s="5">
        <v>94337</v>
      </c>
      <c r="E150" s="5">
        <v>407587</v>
      </c>
      <c r="F150">
        <f t="shared" si="4"/>
        <v>14.7441863149221</v>
      </c>
    </row>
    <row r="151" spans="1:6">
      <c r="A151" s="5">
        <v>150</v>
      </c>
      <c r="B151" s="5">
        <v>141792</v>
      </c>
      <c r="C151" s="5">
        <v>141792</v>
      </c>
      <c r="D151" s="5">
        <v>98448</v>
      </c>
      <c r="E151" s="5">
        <v>425376</v>
      </c>
      <c r="F151">
        <f t="shared" si="4"/>
        <v>14.9666101652382</v>
      </c>
    </row>
    <row r="152" spans="1:6">
      <c r="A152" s="5">
        <v>151</v>
      </c>
      <c r="B152" s="5">
        <v>148854</v>
      </c>
      <c r="C152" s="5">
        <v>148854</v>
      </c>
      <c r="D152" s="5">
        <v>103327</v>
      </c>
      <c r="E152" s="5">
        <v>446564</v>
      </c>
      <c r="F152">
        <f t="shared" si="4"/>
        <v>15.1911196941518</v>
      </c>
    </row>
    <row r="153" spans="1:6">
      <c r="A153" s="5">
        <v>152</v>
      </c>
      <c r="B153" s="5">
        <v>156149</v>
      </c>
      <c r="C153" s="5">
        <v>156149</v>
      </c>
      <c r="D153" s="5">
        <v>108435</v>
      </c>
      <c r="E153" s="5">
        <v>468449</v>
      </c>
      <c r="F153">
        <f t="shared" si="4"/>
        <v>15.4177204524127</v>
      </c>
    </row>
    <row r="154" spans="1:6">
      <c r="A154" s="5">
        <v>153</v>
      </c>
      <c r="B154" s="5">
        <v>163652</v>
      </c>
      <c r="C154" s="5">
        <v>163652</v>
      </c>
      <c r="D154" s="5">
        <v>113599</v>
      </c>
      <c r="E154" s="5">
        <v>490958</v>
      </c>
      <c r="F154">
        <f t="shared" si="4"/>
        <v>15.646417968758</v>
      </c>
    </row>
    <row r="155" spans="1:6">
      <c r="A155" s="5">
        <v>154</v>
      </c>
      <c r="B155" s="5">
        <v>171366</v>
      </c>
      <c r="C155" s="5">
        <v>171366</v>
      </c>
      <c r="D155" s="5">
        <v>118968</v>
      </c>
      <c r="E155" s="5">
        <v>514100</v>
      </c>
      <c r="F155">
        <f t="shared" si="4"/>
        <v>15.8772177501438</v>
      </c>
    </row>
    <row r="156" spans="1:6">
      <c r="A156" s="5">
        <v>155</v>
      </c>
      <c r="B156" s="5">
        <v>179295</v>
      </c>
      <c r="C156" s="5">
        <v>179295</v>
      </c>
      <c r="D156" s="5">
        <v>124488</v>
      </c>
      <c r="E156" s="5">
        <v>537887</v>
      </c>
      <c r="F156">
        <f t="shared" si="4"/>
        <v>16.1101252819716</v>
      </c>
    </row>
    <row r="157" spans="1:6">
      <c r="A157" s="5">
        <v>156</v>
      </c>
      <c r="B157" s="5">
        <v>187443</v>
      </c>
      <c r="C157" s="5">
        <v>187443</v>
      </c>
      <c r="D157" s="5">
        <v>130096</v>
      </c>
      <c r="E157" s="5">
        <v>562331</v>
      </c>
      <c r="F157">
        <f t="shared" si="4"/>
        <v>16.3451460283128</v>
      </c>
    </row>
    <row r="158" spans="1:6">
      <c r="A158" s="5">
        <v>157</v>
      </c>
      <c r="B158" s="5">
        <v>195813</v>
      </c>
      <c r="C158" s="5">
        <v>195813</v>
      </c>
      <c r="D158" s="5">
        <v>135954</v>
      </c>
      <c r="E158" s="5">
        <v>587441</v>
      </c>
      <c r="F158">
        <f t="shared" si="4"/>
        <v>16.5822854321277</v>
      </c>
    </row>
    <row r="159" spans="1:6">
      <c r="A159" s="5">
        <v>158</v>
      </c>
      <c r="B159" s="5">
        <v>204409</v>
      </c>
      <c r="C159" s="5">
        <v>204409</v>
      </c>
      <c r="D159" s="5">
        <v>141937</v>
      </c>
      <c r="E159" s="5">
        <v>613229</v>
      </c>
      <c r="F159">
        <f t="shared" si="4"/>
        <v>16.8215489154822</v>
      </c>
    </row>
    <row r="160" spans="1:6">
      <c r="A160" s="5">
        <v>159</v>
      </c>
      <c r="B160" s="5">
        <v>213235</v>
      </c>
      <c r="C160" s="5">
        <v>213235</v>
      </c>
      <c r="D160" s="5">
        <v>148014</v>
      </c>
      <c r="E160" s="5">
        <v>639706</v>
      </c>
      <c r="F160">
        <f t="shared" si="4"/>
        <v>17.0629418797599</v>
      </c>
    </row>
    <row r="161" spans="1:6">
      <c r="A161" s="5">
        <v>160</v>
      </c>
      <c r="B161" s="5">
        <v>222294</v>
      </c>
      <c r="C161" s="5">
        <v>222294</v>
      </c>
      <c r="D161" s="5">
        <v>154319</v>
      </c>
      <c r="E161" s="5">
        <v>666884</v>
      </c>
      <c r="F161">
        <f t="shared" si="4"/>
        <v>17.3064697058712</v>
      </c>
    </row>
    <row r="162" spans="1:6">
      <c r="A162" s="5">
        <v>161</v>
      </c>
      <c r="B162" s="5">
        <v>233138</v>
      </c>
      <c r="C162" s="5">
        <v>233138</v>
      </c>
      <c r="D162" s="5">
        <v>161890</v>
      </c>
      <c r="E162" s="5">
        <v>699416</v>
      </c>
      <c r="F162">
        <f t="shared" si="4"/>
        <v>17.5521377544595</v>
      </c>
    </row>
    <row r="163" spans="1:6">
      <c r="A163" s="5">
        <v>162</v>
      </c>
      <c r="B163" s="5">
        <v>244280</v>
      </c>
      <c r="C163" s="5">
        <v>244280</v>
      </c>
      <c r="D163" s="5">
        <v>169564</v>
      </c>
      <c r="E163" s="5">
        <v>732840</v>
      </c>
      <c r="F163">
        <f t="shared" si="4"/>
        <v>17.7999513661025</v>
      </c>
    </row>
    <row r="164" spans="1:6">
      <c r="A164" s="5">
        <v>163</v>
      </c>
      <c r="B164" s="5">
        <v>255759</v>
      </c>
      <c r="C164" s="5">
        <v>255759</v>
      </c>
      <c r="D164" s="5">
        <v>177552</v>
      </c>
      <c r="E164" s="5">
        <v>767279</v>
      </c>
      <c r="F164">
        <f t="shared" ref="F164:F195" si="5">1+ROUND(A164/50,2)^G$1</f>
        <v>18.0499158615122</v>
      </c>
    </row>
    <row r="165" spans="1:6">
      <c r="A165" s="5">
        <v>164</v>
      </c>
      <c r="B165" s="5">
        <v>267511</v>
      </c>
      <c r="C165" s="5">
        <v>267511</v>
      </c>
      <c r="D165" s="5">
        <v>185719</v>
      </c>
      <c r="E165" s="5">
        <v>802535</v>
      </c>
      <c r="F165">
        <f t="shared" si="5"/>
        <v>18.3020365417301</v>
      </c>
    </row>
    <row r="166" spans="1:6">
      <c r="A166" s="5">
        <v>165</v>
      </c>
      <c r="B166" s="5">
        <v>279613</v>
      </c>
      <c r="C166" s="5">
        <v>279613</v>
      </c>
      <c r="D166" s="5">
        <v>194140</v>
      </c>
      <c r="E166" s="5">
        <v>838839</v>
      </c>
      <c r="F166">
        <f t="shared" si="5"/>
        <v>18.5563186883204</v>
      </c>
    </row>
    <row r="167" spans="1:6">
      <c r="A167" s="5">
        <v>166</v>
      </c>
      <c r="B167" s="5">
        <v>291995</v>
      </c>
      <c r="C167" s="5">
        <v>291995</v>
      </c>
      <c r="D167" s="5">
        <v>202746</v>
      </c>
      <c r="E167" s="5">
        <v>875986</v>
      </c>
      <c r="F167">
        <f t="shared" si="5"/>
        <v>18.8127675635593</v>
      </c>
    </row>
    <row r="168" spans="1:6">
      <c r="A168" s="5">
        <v>167</v>
      </c>
      <c r="B168" s="5">
        <v>304700</v>
      </c>
      <c r="C168" s="5">
        <v>304700</v>
      </c>
      <c r="D168" s="5">
        <v>211537</v>
      </c>
      <c r="E168" s="5">
        <v>914100</v>
      </c>
      <c r="F168">
        <f t="shared" si="5"/>
        <v>19.0713884106219</v>
      </c>
    </row>
    <row r="169" spans="1:6">
      <c r="A169" s="5">
        <v>168</v>
      </c>
      <c r="B169" s="5">
        <v>317771</v>
      </c>
      <c r="C169" s="5">
        <v>317771</v>
      </c>
      <c r="D169" s="5">
        <v>220594</v>
      </c>
      <c r="E169" s="5">
        <v>953314</v>
      </c>
      <c r="F169">
        <f t="shared" si="5"/>
        <v>19.3321864537659</v>
      </c>
    </row>
    <row r="170" spans="1:6">
      <c r="A170" s="5">
        <v>169</v>
      </c>
      <c r="B170" s="5">
        <v>331137</v>
      </c>
      <c r="C170" s="5">
        <v>331137</v>
      </c>
      <c r="D170" s="5">
        <v>229922</v>
      </c>
      <c r="E170" s="5">
        <v>993412</v>
      </c>
      <c r="F170">
        <f t="shared" si="5"/>
        <v>19.5951668985127</v>
      </c>
    </row>
    <row r="171" spans="1:6">
      <c r="A171" s="5">
        <v>170</v>
      </c>
      <c r="B171" s="5">
        <v>344881</v>
      </c>
      <c r="C171" s="5">
        <v>344881</v>
      </c>
      <c r="D171" s="5">
        <v>239446</v>
      </c>
      <c r="E171" s="5">
        <v>1034643</v>
      </c>
      <c r="F171">
        <f t="shared" si="5"/>
        <v>19.8603349318252</v>
      </c>
    </row>
    <row r="172" spans="1:6">
      <c r="A172" s="5">
        <v>171</v>
      </c>
      <c r="B172" s="5">
        <v>361347</v>
      </c>
      <c r="C172" s="5">
        <v>361347</v>
      </c>
      <c r="D172" s="5">
        <v>250848</v>
      </c>
      <c r="E172" s="5">
        <v>1084043</v>
      </c>
      <c r="F172">
        <f t="shared" si="5"/>
        <v>20.1276957222837</v>
      </c>
    </row>
    <row r="173" spans="1:6">
      <c r="A173" s="5">
        <v>172</v>
      </c>
      <c r="B173" s="5">
        <v>378287</v>
      </c>
      <c r="C173" s="5">
        <v>378287</v>
      </c>
      <c r="D173" s="5">
        <v>262632</v>
      </c>
      <c r="E173" s="5">
        <v>1134863</v>
      </c>
      <c r="F173">
        <f t="shared" si="5"/>
        <v>20.3972544202579</v>
      </c>
    </row>
    <row r="174" spans="1:6">
      <c r="A174" s="5">
        <v>173</v>
      </c>
      <c r="B174" s="5">
        <v>395667</v>
      </c>
      <c r="C174" s="5">
        <v>395667</v>
      </c>
      <c r="D174" s="5">
        <v>274765</v>
      </c>
      <c r="E174" s="5">
        <v>1187002</v>
      </c>
      <c r="F174">
        <f t="shared" si="5"/>
        <v>20.6690161580776</v>
      </c>
    </row>
    <row r="175" spans="1:6">
      <c r="A175" s="5">
        <v>174</v>
      </c>
      <c r="B175" s="5">
        <v>413450</v>
      </c>
      <c r="C175" s="5">
        <v>413450</v>
      </c>
      <c r="D175" s="5">
        <v>287081</v>
      </c>
      <c r="E175" s="5">
        <v>1240352</v>
      </c>
      <c r="F175">
        <f t="shared" si="5"/>
        <v>20.9429860502001</v>
      </c>
    </row>
    <row r="176" spans="1:6">
      <c r="A176" s="5">
        <v>175</v>
      </c>
      <c r="B176" s="5">
        <v>431730</v>
      </c>
      <c r="C176" s="5">
        <v>431730</v>
      </c>
      <c r="D176" s="5">
        <v>299797</v>
      </c>
      <c r="E176" s="5">
        <v>1295190</v>
      </c>
      <c r="F176">
        <f t="shared" si="5"/>
        <v>21.2191691933751</v>
      </c>
    </row>
    <row r="177" spans="1:6">
      <c r="A177" s="5">
        <v>176</v>
      </c>
      <c r="B177" s="5">
        <v>450469</v>
      </c>
      <c r="C177" s="5">
        <v>450469</v>
      </c>
      <c r="D177" s="5">
        <v>312745</v>
      </c>
      <c r="E177" s="5">
        <v>1351408</v>
      </c>
      <c r="F177">
        <f t="shared" si="5"/>
        <v>21.4975706668071</v>
      </c>
    </row>
    <row r="178" spans="1:6">
      <c r="A178" s="5">
        <v>177</v>
      </c>
      <c r="B178" s="5">
        <v>469631</v>
      </c>
      <c r="C178" s="5">
        <v>469631</v>
      </c>
      <c r="D178" s="5">
        <v>326106</v>
      </c>
      <c r="E178" s="5">
        <v>1408894</v>
      </c>
      <c r="F178">
        <f t="shared" si="5"/>
        <v>21.778195532316</v>
      </c>
    </row>
    <row r="179" spans="1:6">
      <c r="A179" s="5">
        <v>178</v>
      </c>
      <c r="B179" s="5">
        <v>489312</v>
      </c>
      <c r="C179" s="5">
        <v>489312</v>
      </c>
      <c r="D179" s="5">
        <v>339705</v>
      </c>
      <c r="E179" s="5">
        <v>1467936</v>
      </c>
      <c r="F179">
        <f t="shared" si="5"/>
        <v>22.0610488344944</v>
      </c>
    </row>
    <row r="180" spans="1:6">
      <c r="A180" s="5">
        <v>179</v>
      </c>
      <c r="B180" s="5">
        <v>509474</v>
      </c>
      <c r="C180" s="5">
        <v>509474</v>
      </c>
      <c r="D180" s="5">
        <v>353730</v>
      </c>
      <c r="E180" s="5">
        <v>1528423</v>
      </c>
      <c r="F180">
        <f t="shared" si="5"/>
        <v>22.3461356008634</v>
      </c>
    </row>
    <row r="181" spans="1:6">
      <c r="A181" s="5">
        <v>180</v>
      </c>
      <c r="B181" s="5">
        <v>530125</v>
      </c>
      <c r="C181" s="5">
        <v>530125</v>
      </c>
      <c r="D181" s="5">
        <v>368142</v>
      </c>
      <c r="E181" s="5">
        <v>1590376</v>
      </c>
      <c r="F181">
        <f t="shared" si="5"/>
        <v>22.6334608420256</v>
      </c>
    </row>
    <row r="182" spans="1:6">
      <c r="A182" s="5">
        <v>181</v>
      </c>
      <c r="B182" s="5">
        <v>554953</v>
      </c>
      <c r="C182" s="5">
        <v>554953</v>
      </c>
      <c r="D182" s="5">
        <v>385372</v>
      </c>
      <c r="E182" s="5">
        <v>1664860</v>
      </c>
      <c r="F182">
        <f t="shared" si="5"/>
        <v>22.9230295518162</v>
      </c>
    </row>
    <row r="183" spans="1:6">
      <c r="A183" s="5">
        <v>182</v>
      </c>
      <c r="B183" s="5">
        <v>580453</v>
      </c>
      <c r="C183" s="5">
        <v>580453</v>
      </c>
      <c r="D183" s="5">
        <v>403034</v>
      </c>
      <c r="E183" s="5">
        <v>1741361</v>
      </c>
      <c r="F183">
        <f t="shared" si="5"/>
        <v>23.2148467074517</v>
      </c>
    </row>
    <row r="184" spans="1:6">
      <c r="A184" s="5">
        <v>183</v>
      </c>
      <c r="B184" s="5">
        <v>606588</v>
      </c>
      <c r="C184" s="5">
        <v>606588</v>
      </c>
      <c r="D184" s="5">
        <v>421134</v>
      </c>
      <c r="E184" s="5">
        <v>1819764</v>
      </c>
      <c r="F184">
        <f t="shared" si="5"/>
        <v>23.5089172696766</v>
      </c>
    </row>
    <row r="185" spans="1:6">
      <c r="A185" s="5">
        <v>184</v>
      </c>
      <c r="B185" s="5">
        <v>633315</v>
      </c>
      <c r="C185" s="5">
        <v>633315</v>
      </c>
      <c r="D185" s="5">
        <v>439731</v>
      </c>
      <c r="E185" s="5">
        <v>1899945</v>
      </c>
      <c r="F185">
        <f t="shared" si="5"/>
        <v>23.8052461829081</v>
      </c>
    </row>
    <row r="186" spans="1:6">
      <c r="A186" s="5">
        <v>185</v>
      </c>
      <c r="B186" s="5">
        <v>660745</v>
      </c>
      <c r="C186" s="5">
        <v>660745</v>
      </c>
      <c r="D186" s="5">
        <v>458833</v>
      </c>
      <c r="E186" s="5">
        <v>1982235</v>
      </c>
      <c r="F186">
        <f t="shared" si="5"/>
        <v>24.1038383753784</v>
      </c>
    </row>
    <row r="187" spans="1:6">
      <c r="A187" s="5">
        <v>186</v>
      </c>
      <c r="B187" s="5">
        <v>688837</v>
      </c>
      <c r="C187" s="5">
        <v>688837</v>
      </c>
      <c r="D187" s="5">
        <v>478292</v>
      </c>
      <c r="E187" s="5">
        <v>2066512</v>
      </c>
      <c r="F187">
        <f t="shared" si="5"/>
        <v>24.4046987592754</v>
      </c>
    </row>
    <row r="188" spans="1:6">
      <c r="A188" s="5">
        <v>187</v>
      </c>
      <c r="B188" s="5">
        <v>717548</v>
      </c>
      <c r="C188" s="5">
        <v>717548</v>
      </c>
      <c r="D188" s="5">
        <v>498215</v>
      </c>
      <c r="E188" s="5">
        <v>2152644</v>
      </c>
      <c r="F188">
        <f t="shared" si="5"/>
        <v>24.707832230881</v>
      </c>
    </row>
    <row r="189" spans="1:6">
      <c r="A189" s="5">
        <v>188</v>
      </c>
      <c r="B189" s="5">
        <v>746992</v>
      </c>
      <c r="C189" s="5">
        <v>746992</v>
      </c>
      <c r="D189" s="5">
        <v>518665</v>
      </c>
      <c r="E189" s="5">
        <v>2240978</v>
      </c>
      <c r="F189">
        <f t="shared" si="5"/>
        <v>25.0132436707081</v>
      </c>
    </row>
    <row r="190" spans="1:6">
      <c r="A190" s="5">
        <v>189</v>
      </c>
      <c r="B190" s="5">
        <v>777128</v>
      </c>
      <c r="C190" s="5">
        <v>777128</v>
      </c>
      <c r="D190" s="5">
        <v>539649</v>
      </c>
      <c r="E190" s="5">
        <v>2331385</v>
      </c>
      <c r="F190">
        <f t="shared" si="5"/>
        <v>25.3209379436349</v>
      </c>
    </row>
    <row r="191" spans="1:6">
      <c r="A191" s="5">
        <v>190</v>
      </c>
      <c r="B191" s="5">
        <v>807964</v>
      </c>
      <c r="C191" s="5">
        <v>807964</v>
      </c>
      <c r="D191" s="5">
        <v>561010</v>
      </c>
      <c r="E191" s="5">
        <v>2423894</v>
      </c>
      <c r="F191">
        <f t="shared" si="5"/>
        <v>25.630919899038</v>
      </c>
    </row>
    <row r="192" spans="1:6">
      <c r="A192" s="5">
        <v>191</v>
      </c>
      <c r="B192" s="5">
        <v>845129</v>
      </c>
      <c r="C192" s="5">
        <v>845129</v>
      </c>
      <c r="D192" s="5">
        <v>586779</v>
      </c>
      <c r="E192" s="5">
        <v>2535389</v>
      </c>
      <c r="F192">
        <f t="shared" si="5"/>
        <v>25.9431943709234</v>
      </c>
    </row>
    <row r="193" spans="1:6">
      <c r="A193" s="5">
        <v>192</v>
      </c>
      <c r="B193" s="5">
        <v>883246</v>
      </c>
      <c r="C193" s="5">
        <v>883246</v>
      </c>
      <c r="D193" s="5">
        <v>613282</v>
      </c>
      <c r="E193" s="5">
        <v>2649740</v>
      </c>
      <c r="F193">
        <f t="shared" si="5"/>
        <v>26.2577661780557</v>
      </c>
    </row>
    <row r="194" spans="1:6">
      <c r="A194" s="5">
        <v>193</v>
      </c>
      <c r="B194" s="5">
        <v>922273</v>
      </c>
      <c r="C194" s="5">
        <v>922273</v>
      </c>
      <c r="D194" s="5">
        <v>640418</v>
      </c>
      <c r="E194" s="5">
        <v>2766819</v>
      </c>
      <c r="F194">
        <f t="shared" si="5"/>
        <v>26.5746401240853</v>
      </c>
    </row>
    <row r="195" spans="1:6">
      <c r="A195" s="5">
        <v>194</v>
      </c>
      <c r="B195" s="5">
        <v>962221</v>
      </c>
      <c r="C195" s="5">
        <v>962221</v>
      </c>
      <c r="D195" s="5">
        <v>668077</v>
      </c>
      <c r="E195" s="5">
        <v>2886665</v>
      </c>
      <c r="F195">
        <f t="shared" si="5"/>
        <v>26.8938209976749</v>
      </c>
    </row>
    <row r="196" spans="1:6">
      <c r="A196" s="5">
        <v>195</v>
      </c>
      <c r="B196" s="5">
        <v>1003104</v>
      </c>
      <c r="C196" s="5">
        <v>1003104</v>
      </c>
      <c r="D196" s="5">
        <v>696503</v>
      </c>
      <c r="E196" s="5">
        <v>3009314</v>
      </c>
      <c r="F196">
        <f t="shared" ref="F196:F201" si="6">1+ROUND(A196/50,2)^G$1</f>
        <v>27.2153135726227</v>
      </c>
    </row>
    <row r="197" spans="1:6">
      <c r="A197" s="5">
        <v>196</v>
      </c>
      <c r="B197" s="5">
        <v>1044874</v>
      </c>
      <c r="C197" s="5">
        <v>1044874</v>
      </c>
      <c r="D197" s="5">
        <v>725466</v>
      </c>
      <c r="E197" s="5">
        <v>3134624</v>
      </c>
      <c r="F197">
        <f t="shared" si="6"/>
        <v>27.5391226079853</v>
      </c>
    </row>
    <row r="198" spans="1:6">
      <c r="A198" s="5">
        <v>197</v>
      </c>
      <c r="B198" s="5">
        <v>1087665</v>
      </c>
      <c r="C198" s="5">
        <v>1087665</v>
      </c>
      <c r="D198" s="5">
        <v>755280</v>
      </c>
      <c r="E198" s="5">
        <v>3262997</v>
      </c>
      <c r="F198">
        <f t="shared" si="6"/>
        <v>27.8652528481985</v>
      </c>
    </row>
    <row r="199" spans="1:6">
      <c r="A199" s="5">
        <v>198</v>
      </c>
      <c r="B199" s="5">
        <v>1131430</v>
      </c>
      <c r="C199" s="5">
        <v>1131430</v>
      </c>
      <c r="D199" s="5">
        <v>785710</v>
      </c>
      <c r="E199" s="5">
        <v>3394291</v>
      </c>
      <c r="F199">
        <f t="shared" si="6"/>
        <v>28.1937090231961</v>
      </c>
    </row>
    <row r="200" spans="1:6">
      <c r="A200" s="5">
        <v>199</v>
      </c>
      <c r="B200" s="5">
        <v>1176182</v>
      </c>
      <c r="C200" s="5">
        <v>1176182</v>
      </c>
      <c r="D200" s="5">
        <v>816699</v>
      </c>
      <c r="E200" s="5">
        <v>3528547</v>
      </c>
      <c r="F200">
        <f t="shared" si="6"/>
        <v>28.5244958485281</v>
      </c>
    </row>
    <row r="201" spans="1:6">
      <c r="A201" s="5">
        <v>200</v>
      </c>
      <c r="B201" s="5">
        <v>1221935</v>
      </c>
      <c r="C201" s="5">
        <v>1221935</v>
      </c>
      <c r="D201" s="5">
        <v>848510</v>
      </c>
      <c r="E201" s="5">
        <v>3665805</v>
      </c>
      <c r="F201">
        <f t="shared" si="6"/>
        <v>28.857618025476</v>
      </c>
    </row>
  </sheetData>
  <pageMargins left="0.75" right="0.75" top="1" bottom="1" header="0.511805555555556" footer="0.511805555555556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3"/>
  <sheetViews>
    <sheetView workbookViewId="0">
      <selection activeCell="J23" sqref="J23"/>
    </sheetView>
  </sheetViews>
  <sheetFormatPr defaultColWidth="9" defaultRowHeight="13.5" outlineLevelCol="1"/>
  <sheetData>
    <row r="1" spans="1:2">
      <c r="A1" t="s">
        <v>239</v>
      </c>
      <c r="B1" t="s">
        <v>335</v>
      </c>
    </row>
    <row r="2" spans="1:2">
      <c r="A2">
        <v>1</v>
      </c>
      <c r="B2">
        <v>15</v>
      </c>
    </row>
    <row r="3" spans="1:2">
      <c r="A3">
        <v>2</v>
      </c>
      <c r="B3">
        <f>B2+5</f>
        <v>20</v>
      </c>
    </row>
    <row r="4" spans="1:2">
      <c r="A4">
        <v>3</v>
      </c>
      <c r="B4">
        <f t="shared" ref="B4" si="0">B3+5</f>
        <v>25</v>
      </c>
    </row>
    <row r="5" spans="1:2">
      <c r="A5">
        <v>4</v>
      </c>
      <c r="B5">
        <f t="shared" ref="B5:B10" si="1">B4+5</f>
        <v>30</v>
      </c>
    </row>
    <row r="6" spans="1:2">
      <c r="A6">
        <v>5</v>
      </c>
      <c r="B6">
        <f t="shared" si="1"/>
        <v>35</v>
      </c>
    </row>
    <row r="7" spans="1:2">
      <c r="A7">
        <v>6</v>
      </c>
      <c r="B7">
        <f t="shared" si="1"/>
        <v>40</v>
      </c>
    </row>
    <row r="8" spans="1:2">
      <c r="A8">
        <v>7</v>
      </c>
      <c r="B8">
        <f t="shared" si="1"/>
        <v>45</v>
      </c>
    </row>
    <row r="9" spans="1:2">
      <c r="A9">
        <v>8</v>
      </c>
      <c r="B9">
        <f t="shared" si="1"/>
        <v>50</v>
      </c>
    </row>
    <row r="10" spans="1:2">
      <c r="A10">
        <v>9</v>
      </c>
      <c r="B10">
        <f t="shared" si="1"/>
        <v>55</v>
      </c>
    </row>
    <row r="11" spans="1:2">
      <c r="A11">
        <v>10</v>
      </c>
      <c r="B11">
        <f t="shared" ref="B11:B13" si="2">B10</f>
        <v>55</v>
      </c>
    </row>
    <row r="12" spans="1:2">
      <c r="A12">
        <v>11</v>
      </c>
      <c r="B12">
        <f t="shared" si="2"/>
        <v>55</v>
      </c>
    </row>
    <row r="13" spans="1:2">
      <c r="A13">
        <v>12</v>
      </c>
      <c r="B13">
        <f t="shared" si="2"/>
        <v>55</v>
      </c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26"/>
  <sheetViews>
    <sheetView workbookViewId="0">
      <pane ySplit="3" topLeftCell="A4" activePane="bottomLeft" state="frozen"/>
      <selection/>
      <selection pane="bottomLeft" activeCell="C11" sqref="C11"/>
    </sheetView>
  </sheetViews>
  <sheetFormatPr defaultColWidth="9" defaultRowHeight="13.5"/>
  <sheetData>
    <row r="1" ht="123" customHeight="1" spans="1:9">
      <c r="A1" s="1" t="s">
        <v>336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8">
      <c r="A2" s="1" t="s">
        <v>11</v>
      </c>
      <c r="B2" s="1"/>
      <c r="C2" s="2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</row>
    <row r="3" spans="1:8">
      <c r="A3" s="1" t="s">
        <v>21</v>
      </c>
      <c r="B3" s="1" t="s">
        <v>22</v>
      </c>
      <c r="C3" t="s">
        <v>21</v>
      </c>
      <c r="D3" s="1" t="s">
        <v>21</v>
      </c>
      <c r="E3" s="1" t="s">
        <v>21</v>
      </c>
      <c r="F3" s="1" t="s">
        <v>21</v>
      </c>
      <c r="G3" s="1" t="s">
        <v>21</v>
      </c>
      <c r="H3" s="1" t="s">
        <v>21</v>
      </c>
    </row>
    <row r="4" spans="1:9">
      <c r="A4">
        <v>1020905</v>
      </c>
      <c r="B4" t="s">
        <v>260</v>
      </c>
      <c r="C4">
        <v>10109</v>
      </c>
      <c r="D4">
        <v>5</v>
      </c>
      <c r="E4" s="3">
        <v>93</v>
      </c>
      <c r="F4" s="3">
        <v>46</v>
      </c>
      <c r="G4" s="3">
        <v>109</v>
      </c>
      <c r="H4" s="3">
        <v>526</v>
      </c>
      <c r="I4">
        <v>8</v>
      </c>
    </row>
    <row r="5" spans="1:9">
      <c r="A5">
        <v>5101001</v>
      </c>
      <c r="B5" t="s">
        <v>252</v>
      </c>
      <c r="C5">
        <v>10101</v>
      </c>
      <c r="D5">
        <v>1</v>
      </c>
      <c r="E5" s="3">
        <v>43</v>
      </c>
      <c r="F5" s="3">
        <v>88</v>
      </c>
      <c r="G5" s="3">
        <v>36</v>
      </c>
      <c r="H5" s="3">
        <v>117</v>
      </c>
      <c r="I5" s="4">
        <v>3</v>
      </c>
    </row>
    <row r="6" spans="1:9">
      <c r="A6">
        <v>5101002</v>
      </c>
      <c r="B6" t="s">
        <v>254</v>
      </c>
      <c r="C6">
        <v>10103</v>
      </c>
      <c r="D6">
        <v>2</v>
      </c>
      <c r="E6" s="3">
        <v>109</v>
      </c>
      <c r="F6" s="3">
        <v>0</v>
      </c>
      <c r="G6" s="3">
        <v>56</v>
      </c>
      <c r="H6" s="3">
        <v>272</v>
      </c>
      <c r="I6" s="4">
        <v>3</v>
      </c>
    </row>
    <row r="7" spans="1:9">
      <c r="A7">
        <v>5101003</v>
      </c>
      <c r="B7" t="s">
        <v>255</v>
      </c>
      <c r="C7">
        <v>10104</v>
      </c>
      <c r="D7">
        <v>2</v>
      </c>
      <c r="E7" s="3">
        <v>117</v>
      </c>
      <c r="F7" s="3">
        <v>0</v>
      </c>
      <c r="G7" s="3">
        <v>75</v>
      </c>
      <c r="H7" s="3">
        <v>261</v>
      </c>
      <c r="I7" s="4">
        <v>3</v>
      </c>
    </row>
    <row r="8" spans="1:9">
      <c r="A8">
        <v>5101004</v>
      </c>
      <c r="B8" t="s">
        <v>253</v>
      </c>
      <c r="C8">
        <v>10102</v>
      </c>
      <c r="D8">
        <v>2</v>
      </c>
      <c r="E8" s="3">
        <v>51</v>
      </c>
      <c r="F8" s="3">
        <v>0</v>
      </c>
      <c r="G8" s="3">
        <v>46</v>
      </c>
      <c r="H8" s="3">
        <v>120</v>
      </c>
      <c r="I8" s="4">
        <v>3</v>
      </c>
    </row>
    <row r="9" spans="1:9">
      <c r="A9">
        <v>5101005</v>
      </c>
      <c r="B9" t="s">
        <v>268</v>
      </c>
      <c r="C9">
        <v>10120</v>
      </c>
      <c r="D9">
        <v>3</v>
      </c>
      <c r="E9" s="3">
        <v>121</v>
      </c>
      <c r="F9" s="3">
        <v>0</v>
      </c>
      <c r="G9" s="3">
        <v>39</v>
      </c>
      <c r="H9" s="3">
        <v>277</v>
      </c>
      <c r="I9" s="4">
        <v>3</v>
      </c>
    </row>
    <row r="10" spans="1:9">
      <c r="A10">
        <v>5102001</v>
      </c>
      <c r="B10" t="s">
        <v>252</v>
      </c>
      <c r="C10">
        <v>10101</v>
      </c>
      <c r="D10">
        <v>1</v>
      </c>
      <c r="E10" s="3">
        <v>34</v>
      </c>
      <c r="F10" s="3">
        <v>70</v>
      </c>
      <c r="G10" s="3">
        <v>28</v>
      </c>
      <c r="H10" s="3">
        <v>140</v>
      </c>
      <c r="I10" s="4">
        <v>10</v>
      </c>
    </row>
    <row r="11" spans="1:9">
      <c r="A11">
        <v>5102002</v>
      </c>
      <c r="B11" t="s">
        <v>254</v>
      </c>
      <c r="C11">
        <v>10103</v>
      </c>
      <c r="D11">
        <v>2</v>
      </c>
      <c r="E11" s="3">
        <v>131</v>
      </c>
      <c r="F11" s="3">
        <v>0</v>
      </c>
      <c r="G11" s="3">
        <v>66</v>
      </c>
      <c r="H11" s="3">
        <v>324</v>
      </c>
      <c r="I11" s="4">
        <v>10</v>
      </c>
    </row>
    <row r="12" spans="1:9">
      <c r="A12">
        <v>5102003</v>
      </c>
      <c r="B12" t="s">
        <v>255</v>
      </c>
      <c r="C12">
        <v>10104</v>
      </c>
      <c r="D12">
        <v>2</v>
      </c>
      <c r="E12" s="3">
        <v>140</v>
      </c>
      <c r="F12" s="3">
        <v>0</v>
      </c>
      <c r="G12" s="3">
        <v>89</v>
      </c>
      <c r="H12" s="3">
        <v>312</v>
      </c>
      <c r="I12" s="4">
        <v>10</v>
      </c>
    </row>
    <row r="13" spans="1:9">
      <c r="A13">
        <v>5102004</v>
      </c>
      <c r="B13" t="s">
        <v>272</v>
      </c>
      <c r="C13">
        <v>10125</v>
      </c>
      <c r="D13">
        <v>2</v>
      </c>
      <c r="E13" s="3">
        <v>109</v>
      </c>
      <c r="F13" s="3">
        <v>0</v>
      </c>
      <c r="G13" s="3">
        <v>36</v>
      </c>
      <c r="H13" s="3">
        <v>321</v>
      </c>
      <c r="I13" s="4">
        <v>10</v>
      </c>
    </row>
    <row r="14" spans="1:9">
      <c r="A14">
        <v>5102005</v>
      </c>
      <c r="B14" t="s">
        <v>268</v>
      </c>
      <c r="C14">
        <v>10120</v>
      </c>
      <c r="D14">
        <v>3</v>
      </c>
      <c r="E14" s="3">
        <v>145</v>
      </c>
      <c r="F14" s="3">
        <v>0</v>
      </c>
      <c r="G14" s="3">
        <v>47</v>
      </c>
      <c r="H14" s="3">
        <v>330</v>
      </c>
      <c r="I14" s="4">
        <v>10</v>
      </c>
    </row>
    <row r="15" spans="1:9">
      <c r="A15">
        <v>5102006</v>
      </c>
      <c r="B15" t="s">
        <v>253</v>
      </c>
      <c r="C15">
        <v>10102</v>
      </c>
      <c r="D15">
        <v>2</v>
      </c>
      <c r="E15" s="3">
        <v>60</v>
      </c>
      <c r="F15" s="3">
        <v>0</v>
      </c>
      <c r="G15" s="3">
        <v>55</v>
      </c>
      <c r="H15" s="3">
        <v>143</v>
      </c>
      <c r="I15" s="4">
        <v>10</v>
      </c>
    </row>
    <row r="16" spans="1:9">
      <c r="A16">
        <v>5103001</v>
      </c>
      <c r="B16" t="s">
        <v>257</v>
      </c>
      <c r="C16">
        <v>10106</v>
      </c>
      <c r="D16">
        <v>2</v>
      </c>
      <c r="E16" s="3">
        <v>262</v>
      </c>
      <c r="F16" s="3">
        <v>0</v>
      </c>
      <c r="G16" s="3">
        <v>69</v>
      </c>
      <c r="H16" s="3">
        <v>408</v>
      </c>
      <c r="I16" s="3">
        <v>22</v>
      </c>
    </row>
    <row r="17" spans="1:9">
      <c r="A17">
        <v>5103002</v>
      </c>
      <c r="B17" t="s">
        <v>167</v>
      </c>
      <c r="C17">
        <v>10134</v>
      </c>
      <c r="D17">
        <v>1</v>
      </c>
      <c r="E17" s="3">
        <v>356</v>
      </c>
      <c r="F17" s="3">
        <v>0</v>
      </c>
      <c r="G17" s="3">
        <v>103</v>
      </c>
      <c r="H17" s="3">
        <v>373</v>
      </c>
      <c r="I17" s="3">
        <v>22</v>
      </c>
    </row>
    <row r="18" spans="1:9">
      <c r="A18">
        <v>5103003</v>
      </c>
      <c r="B18" t="s">
        <v>173</v>
      </c>
      <c r="C18">
        <v>10121</v>
      </c>
      <c r="D18">
        <v>2</v>
      </c>
      <c r="E18" s="3">
        <v>120</v>
      </c>
      <c r="F18" s="3">
        <v>154</v>
      </c>
      <c r="G18" s="3">
        <v>64</v>
      </c>
      <c r="H18" s="3">
        <v>292</v>
      </c>
      <c r="I18" s="3">
        <v>22</v>
      </c>
    </row>
    <row r="19" spans="1:9">
      <c r="A19">
        <v>5103004</v>
      </c>
      <c r="B19" t="s">
        <v>262</v>
      </c>
      <c r="C19">
        <v>10112</v>
      </c>
      <c r="D19">
        <v>2</v>
      </c>
      <c r="E19" s="3">
        <v>109</v>
      </c>
      <c r="F19" s="3">
        <v>0</v>
      </c>
      <c r="G19" s="3">
        <v>23</v>
      </c>
      <c r="H19" s="3">
        <v>459</v>
      </c>
      <c r="I19" s="3">
        <v>22</v>
      </c>
    </row>
    <row r="20" spans="1:9">
      <c r="A20">
        <v>5103005</v>
      </c>
      <c r="B20" t="s">
        <v>263</v>
      </c>
      <c r="C20">
        <v>10113</v>
      </c>
      <c r="D20">
        <v>2</v>
      </c>
      <c r="E20" s="3">
        <v>27</v>
      </c>
      <c r="F20" s="3">
        <v>0</v>
      </c>
      <c r="G20" s="3">
        <v>143</v>
      </c>
      <c r="H20" s="3">
        <v>468</v>
      </c>
      <c r="I20" s="3">
        <v>22</v>
      </c>
    </row>
    <row r="21" spans="1:9">
      <c r="A21">
        <v>5103006</v>
      </c>
      <c r="B21" t="s">
        <v>337</v>
      </c>
      <c r="C21">
        <v>10128</v>
      </c>
      <c r="D21">
        <v>2</v>
      </c>
      <c r="E21" s="3">
        <v>184</v>
      </c>
      <c r="F21" s="3">
        <v>0</v>
      </c>
      <c r="G21" s="3">
        <v>86</v>
      </c>
      <c r="H21" s="3">
        <v>498</v>
      </c>
      <c r="I21" s="3">
        <v>22</v>
      </c>
    </row>
    <row r="22" spans="1:9">
      <c r="A22">
        <v>5104001</v>
      </c>
      <c r="B22" t="s">
        <v>337</v>
      </c>
      <c r="C22">
        <v>10128</v>
      </c>
      <c r="D22">
        <v>2</v>
      </c>
      <c r="E22" s="3">
        <v>259</v>
      </c>
      <c r="F22" s="3">
        <v>0</v>
      </c>
      <c r="G22" s="3">
        <v>122</v>
      </c>
      <c r="H22" s="3">
        <v>698</v>
      </c>
      <c r="I22" s="3">
        <v>35</v>
      </c>
    </row>
    <row r="23" spans="1:9">
      <c r="A23">
        <v>5104002</v>
      </c>
      <c r="B23" t="s">
        <v>271</v>
      </c>
      <c r="C23">
        <v>10124</v>
      </c>
      <c r="D23">
        <v>2</v>
      </c>
      <c r="E23" s="3">
        <v>286</v>
      </c>
      <c r="F23" s="3">
        <v>0</v>
      </c>
      <c r="G23" s="3">
        <v>49</v>
      </c>
      <c r="H23" s="3">
        <v>174</v>
      </c>
      <c r="I23" s="3">
        <v>35</v>
      </c>
    </row>
    <row r="24" spans="1:9">
      <c r="A24">
        <v>5104003</v>
      </c>
      <c r="B24" t="s">
        <v>258</v>
      </c>
      <c r="C24">
        <v>10107</v>
      </c>
      <c r="D24">
        <v>2</v>
      </c>
      <c r="E24" s="3">
        <v>460</v>
      </c>
      <c r="F24" s="3">
        <v>0</v>
      </c>
      <c r="G24" s="3">
        <v>98</v>
      </c>
      <c r="H24" s="3">
        <v>572</v>
      </c>
      <c r="I24" s="3">
        <v>35</v>
      </c>
    </row>
    <row r="25" spans="1:9">
      <c r="A25">
        <v>5104004</v>
      </c>
      <c r="B25" t="s">
        <v>259</v>
      </c>
      <c r="C25">
        <v>10108</v>
      </c>
      <c r="D25">
        <v>2</v>
      </c>
      <c r="E25" s="3">
        <v>499</v>
      </c>
      <c r="F25" s="3">
        <v>0</v>
      </c>
      <c r="G25" s="3">
        <v>146</v>
      </c>
      <c r="H25" s="3">
        <v>524</v>
      </c>
      <c r="I25" s="3">
        <v>35</v>
      </c>
    </row>
    <row r="26" spans="1:9">
      <c r="A26">
        <v>5104005</v>
      </c>
      <c r="B26" t="s">
        <v>167</v>
      </c>
      <c r="C26">
        <v>10134</v>
      </c>
      <c r="D26">
        <v>1</v>
      </c>
      <c r="E26" s="3">
        <v>499</v>
      </c>
      <c r="F26" s="3">
        <v>0</v>
      </c>
      <c r="G26" s="3">
        <v>146</v>
      </c>
      <c r="H26" s="3">
        <v>524</v>
      </c>
      <c r="I26" s="3">
        <v>35</v>
      </c>
    </row>
  </sheetData>
  <conditionalFormatting sqref="A1:A3">
    <cfRule type="expression" dxfId="1" priority="1" stopIfTrue="1">
      <formula>AND(SUMPRODUCT(1*(($A:$A&amp;"x")=(A1&amp;"x")))&gt;1,NOT(ISBLANK(A1)))</formula>
    </cfRule>
  </conditionalFormatting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monster</vt:lpstr>
      <vt:lpstr>Sheet5</vt:lpstr>
      <vt:lpstr>shareData</vt:lpstr>
      <vt:lpstr>levelToDungeon</vt:lpstr>
      <vt:lpstr>属性系数</vt:lpstr>
      <vt:lpstr>等级属性</vt:lpstr>
      <vt:lpstr>统率力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macair</cp:lastModifiedBy>
  <dcterms:created xsi:type="dcterms:W3CDTF">2006-09-13T11:21:00Z</dcterms:created>
  <dcterms:modified xsi:type="dcterms:W3CDTF">2016-07-13T10:24:04Z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2052-10.1.0.5777</vt:lpwstr>
  </property>
</Properties>
</file>